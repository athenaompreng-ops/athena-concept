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KS\Downloads\"/>
    </mc:Choice>
  </mc:AlternateContent>
  <xr:revisionPtr revIDLastSave="0" documentId="8_{795FD1DB-8356-4B73-B4CC-0FCD8421CAAB}" xr6:coauthVersionLast="47" xr6:coauthVersionMax="47" xr10:uidLastSave="{00000000-0000-0000-0000-000000000000}"/>
  <bookViews>
    <workbookView xWindow="-120" yWindow="-120" windowWidth="29040" windowHeight="15720" xr2:uid="{00000000-000D-0000-FFFF-FFFF00000000}"/>
  </bookViews>
  <sheets>
    <sheet name="COVER" sheetId="1" r:id="rId1"/>
    <sheet name="ASUMSI" sheetId="2" r:id="rId2"/>
    <sheet name="HPP_UNIT" sheetId="3" r:id="rId3"/>
    <sheet name="HPP_SCENARIO" sheetId="4" r:id="rId4"/>
    <sheet name="ANALISIS_HPP" sheetId="5" r:id="rId5"/>
    <sheet name="PRICING" sheetId="6" r:id="rId6"/>
    <sheet name="PROYEKSI_12_BULAN" sheetId="7" r:id="rId7"/>
    <sheet name="RINGKASAN_FIKSI" sheetId="8" r:id="rId8"/>
    <sheet name="DASHBOARD" sheetId="9" r:id="rId9"/>
  </sheets>
  <calcPr calcId="181029"/>
</workbook>
</file>

<file path=xl/calcChain.xml><?xml version="1.0" encoding="utf-8"?>
<calcChain xmlns="http://schemas.openxmlformats.org/spreadsheetml/2006/main">
  <c r="B6" i="9" l="1"/>
  <c r="D6" i="9"/>
  <c r="F6" i="9"/>
  <c r="H6" i="9"/>
  <c r="B10" i="9"/>
  <c r="F10" i="9"/>
  <c r="H10" i="9"/>
  <c r="D15" i="9"/>
  <c r="F15" i="9"/>
  <c r="H15" i="9"/>
  <c r="D16" i="9"/>
  <c r="F16" i="9"/>
  <c r="H16" i="9"/>
  <c r="D17" i="9"/>
  <c r="F17" i="9"/>
  <c r="H17" i="9"/>
  <c r="D18" i="9"/>
  <c r="F18" i="9"/>
  <c r="H18" i="9"/>
  <c r="B6" i="7"/>
  <c r="H6" i="7" s="1"/>
  <c r="F23" i="6"/>
  <c r="E23" i="6"/>
  <c r="D23" i="6"/>
  <c r="E21" i="6"/>
  <c r="D21" i="6"/>
  <c r="C28" i="4"/>
  <c r="B28" i="4"/>
  <c r="D24" i="4"/>
  <c r="C24" i="4"/>
  <c r="B23" i="4"/>
  <c r="C21" i="4"/>
  <c r="B21" i="4"/>
  <c r="D20" i="4"/>
  <c r="D22" i="4" s="1"/>
  <c r="C20" i="4"/>
  <c r="C22" i="4" s="1"/>
  <c r="B20" i="4"/>
  <c r="B24" i="4" s="1"/>
  <c r="D18" i="4"/>
  <c r="C18" i="4"/>
  <c r="B18" i="4"/>
  <c r="D17" i="4"/>
  <c r="D23" i="4" s="1"/>
  <c r="C17" i="4"/>
  <c r="C23" i="4" s="1"/>
  <c r="B17" i="4"/>
  <c r="D29" i="3"/>
  <c r="C29" i="3"/>
  <c r="B29" i="3"/>
  <c r="B31" i="3" s="1"/>
  <c r="C24" i="3"/>
  <c r="B24" i="3"/>
  <c r="D24" i="3" s="1"/>
  <c r="C23" i="3"/>
  <c r="B23" i="3"/>
  <c r="D23" i="3" s="1"/>
  <c r="B22" i="3"/>
  <c r="D22" i="3" s="1"/>
  <c r="B21" i="3"/>
  <c r="B26" i="3" s="1"/>
  <c r="B30" i="3" s="1"/>
  <c r="D14" i="3"/>
  <c r="C14" i="3"/>
  <c r="B14" i="3"/>
  <c r="D10" i="3"/>
  <c r="C10" i="3"/>
  <c r="B10" i="3"/>
  <c r="B11" i="3" s="1"/>
  <c r="D9" i="3"/>
  <c r="C9" i="3"/>
  <c r="B9" i="3"/>
  <c r="D8" i="3"/>
  <c r="C8" i="3"/>
  <c r="B8" i="3"/>
  <c r="B7" i="3"/>
  <c r="D7" i="3" s="1"/>
  <c r="B6" i="3"/>
  <c r="D6" i="3" s="1"/>
  <c r="B15" i="3" l="1"/>
  <c r="D20" i="6"/>
  <c r="B17" i="3"/>
  <c r="D22" i="6" s="1"/>
  <c r="E20" i="6"/>
  <c r="C29" i="4"/>
  <c r="D29" i="4"/>
  <c r="C16" i="3"/>
  <c r="D11" i="3"/>
  <c r="D15" i="3" s="1"/>
  <c r="D17" i="3" s="1"/>
  <c r="C21" i="3"/>
  <c r="D21" i="3"/>
  <c r="D26" i="3" s="1"/>
  <c r="D30" i="3" s="1"/>
  <c r="D32" i="3" s="1"/>
  <c r="C7" i="3"/>
  <c r="D21" i="4"/>
  <c r="C6" i="7"/>
  <c r="C22" i="3"/>
  <c r="D31" i="3"/>
  <c r="B32" i="3"/>
  <c r="B7" i="7"/>
  <c r="C6" i="3"/>
  <c r="C11" i="3" s="1"/>
  <c r="C15" i="3" s="1"/>
  <c r="C17" i="3" s="1"/>
  <c r="B22" i="4"/>
  <c r="B16" i="3"/>
  <c r="B29" i="4" l="1"/>
  <c r="D16" i="3"/>
  <c r="B8" i="7"/>
  <c r="C7" i="7"/>
  <c r="D7" i="7" s="1"/>
  <c r="E7" i="7" s="1"/>
  <c r="H7" i="7"/>
  <c r="E22" i="6"/>
  <c r="D28" i="4"/>
  <c r="D6" i="7"/>
  <c r="C26" i="3"/>
  <c r="C30" i="3" s="1"/>
  <c r="C32" i="3" l="1"/>
  <c r="C31" i="3"/>
  <c r="F7" i="7"/>
  <c r="G7" i="7" s="1"/>
  <c r="I7" i="7" s="1"/>
  <c r="E6" i="7"/>
  <c r="B9" i="7"/>
  <c r="H8" i="7"/>
  <c r="C8" i="7"/>
  <c r="C9" i="7" l="1"/>
  <c r="D9" i="7" s="1"/>
  <c r="E9" i="7" s="1"/>
  <c r="H9" i="7"/>
  <c r="B10" i="7"/>
  <c r="D8" i="7"/>
  <c r="J6" i="7"/>
  <c r="F6" i="7"/>
  <c r="G6" i="7" s="1"/>
  <c r="J7" i="7"/>
  <c r="I6" i="7" l="1"/>
  <c r="E8" i="7"/>
  <c r="B11" i="7"/>
  <c r="H10" i="7"/>
  <c r="C10" i="7"/>
  <c r="F9" i="7"/>
  <c r="G9" i="7" s="1"/>
  <c r="I9" i="7" s="1"/>
  <c r="C11" i="7" l="1"/>
  <c r="D11" i="7" s="1"/>
  <c r="E11" i="7" s="1"/>
  <c r="B12" i="7"/>
  <c r="H11" i="7"/>
  <c r="D10" i="7"/>
  <c r="J9" i="7"/>
  <c r="F8" i="7"/>
  <c r="G8" i="7" s="1"/>
  <c r="J8" i="7"/>
  <c r="I8" i="7" l="1"/>
  <c r="E10" i="7"/>
  <c r="H12" i="7"/>
  <c r="B13" i="7"/>
  <c r="C12" i="7"/>
  <c r="F11" i="7"/>
  <c r="G11" i="7" s="1"/>
  <c r="I11" i="7" s="1"/>
  <c r="H13" i="7" l="1"/>
  <c r="B14" i="7"/>
  <c r="C13" i="7"/>
  <c r="D13" i="7" s="1"/>
  <c r="E13" i="7" s="1"/>
  <c r="D12" i="7"/>
  <c r="J11" i="7"/>
  <c r="F10" i="7"/>
  <c r="J10" i="7"/>
  <c r="G10" i="7" l="1"/>
  <c r="E12" i="7"/>
  <c r="H14" i="7"/>
  <c r="C14" i="7"/>
  <c r="B15" i="7"/>
  <c r="F13" i="7"/>
  <c r="G13" i="7" s="1"/>
  <c r="I13" i="7" s="1"/>
  <c r="B16" i="7" l="1"/>
  <c r="H15" i="7"/>
  <c r="C15" i="7"/>
  <c r="D15" i="7" s="1"/>
  <c r="E15" i="7" s="1"/>
  <c r="F12" i="7"/>
  <c r="G12" i="7" s="1"/>
  <c r="J13" i="7"/>
  <c r="J12" i="7"/>
  <c r="D14" i="7"/>
  <c r="I10" i="7"/>
  <c r="I12" i="7" l="1"/>
  <c r="E14" i="7"/>
  <c r="F15" i="7"/>
  <c r="G15" i="7" s="1"/>
  <c r="I15" i="7" s="1"/>
  <c r="C16" i="7"/>
  <c r="H16" i="7"/>
  <c r="H17" i="7" s="1"/>
  <c r="B17" i="7"/>
  <c r="D16" i="7" l="1"/>
  <c r="C17" i="7"/>
  <c r="G14" i="7"/>
  <c r="F14" i="7"/>
  <c r="J15" i="7"/>
  <c r="J14" i="7"/>
  <c r="I14" i="7" l="1"/>
  <c r="E16" i="7"/>
  <c r="D17" i="7"/>
  <c r="F16" i="7" l="1"/>
  <c r="F17" i="7" s="1"/>
  <c r="J16" i="7"/>
  <c r="J17" i="7" s="1"/>
  <c r="E17" i="7"/>
  <c r="G16" i="7" l="1"/>
  <c r="I16" i="7" l="1"/>
  <c r="I17" i="7" s="1"/>
  <c r="G17" i="7"/>
</calcChain>
</file>

<file path=xl/sharedStrings.xml><?xml version="1.0" encoding="utf-8"?>
<sst xmlns="http://schemas.openxmlformats.org/spreadsheetml/2006/main" count="387" uniqueCount="339">
  <si>
    <t>A.T.H.E.N.A</t>
  </si>
  <si>
    <t>Advanced Threat Handling &amp; Encryption Network Application</t>
  </si>
  <si>
    <t>HPP &amp; Analisis Kelayakan Usaha - FIKSI 2026</t>
  </si>
  <si>
    <t>"Turn Your Image Into Invisible - Untrackable, Untrainable, Yours."</t>
  </si>
  <si>
    <t>IDENTITAS PROYEK</t>
  </si>
  <si>
    <t>Nama Produk</t>
  </si>
  <si>
    <t>ATHENA - Advanced Threat Handling &amp; Encryption Network Application</t>
  </si>
  <si>
    <t>Filosofi</t>
  </si>
  <si>
    <t>Terinspirasi Dewi Athena: Kebijaksanaan, Strategi, dan Perlindungan Karya</t>
  </si>
  <si>
    <t>Kategori</t>
  </si>
  <si>
    <t>SaaS | Teknologi Digital | Keamanan Data Visual | Ekonomi Kreatif</t>
  </si>
  <si>
    <t>Kompetisi</t>
  </si>
  <si>
    <t>Festival Inovasi &amp; Kewirausahaan Siswa Indonesia (FIKSI) 2026</t>
  </si>
  <si>
    <t>Pilar FIKSI</t>
  </si>
  <si>
    <t>Teknologi Digital + Ekonomi Kreatif Berbasis Kearifan Lokal Indonesia</t>
  </si>
  <si>
    <t>Bidang Usaha</t>
  </si>
  <si>
    <t>Teknologi Digital</t>
  </si>
  <si>
    <t>Status</t>
  </si>
  <si>
    <t>Tahap Perencanaan Usaha - Pre-Revenue</t>
  </si>
  <si>
    <t>Target Launch Beta</t>
  </si>
  <si>
    <t>Agustus 2026</t>
  </si>
  <si>
    <t>Target Launch Public</t>
  </si>
  <si>
    <t>Oktober 2026</t>
  </si>
  <si>
    <t>Slogan</t>
  </si>
  <si>
    <t>"The Wisdom to Protect Your Privacy"</t>
  </si>
  <si>
    <t>4A SHIELD - PILAR PERLINDUNGAN ATHENA</t>
  </si>
  <si>
    <t>Anti-AI</t>
  </si>
  <si>
    <t>Mencegah facial recognition AI dari scraper mendeteksi identitas dalam foto</t>
  </si>
  <si>
    <t>Anti-NSFW</t>
  </si>
  <si>
    <t>Mencegah manipulasi foto menjadi konten tidak pantas oleh generative AI</t>
  </si>
  <si>
    <t>Anti-Deepfake</t>
  </si>
  <si>
    <t>Memutus rantai data untuk sintesis deepfake dari foto diam</t>
  </si>
  <si>
    <t>Anti-Training</t>
  </si>
  <si>
    <t>Mencegah foto &amp; karya batik/tenun lokal jadi dataset AI tanpa izin</t>
  </si>
  <si>
    <t>Dokumen ini disiapkan untuk keperluan penilaian FIKSI 2026 - Kategori Rencana Usaha</t>
  </si>
  <si>
    <t>ASUMSI DASAR - ATHENA FIKSI 2026</t>
  </si>
  <si>
    <t>Semua sel berwarna biru dapat diubah. Nilai warna hitam adalah formula otomatis.</t>
  </si>
  <si>
    <t>No.</t>
  </si>
  <si>
    <t>Nama Asumsi</t>
  </si>
  <si>
    <t>Nilai</t>
  </si>
  <si>
    <t>Satuan</t>
  </si>
  <si>
    <t>Keterangan</t>
  </si>
  <si>
    <t xml:space="preserve">  GPU &amp; INFRASTRUKTUR</t>
  </si>
  <si>
    <t>Biaya GPU per foto - Tier Kredit (PGD standard)</t>
  </si>
  <si>
    <t>Rp</t>
  </si>
  <si>
    <t>Kurang lebih 5 detik GPU di Replicate.com, sumber: Replicate pricing 2025</t>
  </si>
  <si>
    <t>Biaya GPU per foto - Tier Pro/Enterprise (CA-PGD+Ens)</t>
  </si>
  <si>
    <t>Kurang lebih 30 detik GPU CA-PGD+Ensemble, estimasi konservatif</t>
  </si>
  <si>
    <t>Biaya GPU per foto - Tier Gratis (client-side TF.js)</t>
  </si>
  <si>
    <t>Proses di browser pengguna, biaya GPU server = Rp 0</t>
  </si>
  <si>
    <t>Biaya storage sementara per foto (5MB x R2 rate)</t>
  </si>
  <si>
    <t>Cloudflare R2 $0.015/GB, file dihapus otomatis &lt;24 jam</t>
  </si>
  <si>
    <t>Biaya bandwidth/egress per foto (5MB keluar)</t>
  </si>
  <si>
    <t>Cloudflare R2 egress $0.045/GB estimasi</t>
  </si>
  <si>
    <t>Biaya backend &amp; queue overhead per foto (alokasi)</t>
  </si>
  <si>
    <t>Railway.app + Upstash Redis dibagi total foto bulanan</t>
  </si>
  <si>
    <t>Payment gateway fee (Midtrans)</t>
  </si>
  <si>
    <t>%</t>
  </si>
  <si>
    <t>2.9% per transaksi, sumber: Midtrans docs 2025</t>
  </si>
  <si>
    <t xml:space="preserve">  BIAYA TETAP BULANAN (FIXED COST)</t>
  </si>
  <si>
    <t>Backend hosting (Railway.app - 1 instance)</t>
  </si>
  <si>
    <t>Rp/bulan</t>
  </si>
  <si>
    <t>Estimasi moderate, gratis di awal MVP</t>
  </si>
  <si>
    <t>Database Supabase (setelah free tier)</t>
  </si>
  <si>
    <t>Free tier hingga 500MB, paid plan kurang lebih $25/bulan</t>
  </si>
  <si>
    <t>Redis Queue (Upstash Redis)</t>
  </si>
  <si>
    <t>Estimasi setelah free tier terlampaui</t>
  </si>
  <si>
    <t>Auth Supabase</t>
  </si>
  <si>
    <t>Gratis hingga 50.000 user aktif</t>
  </si>
  <si>
    <t>Frontend hosting (Vercel)</t>
  </si>
  <si>
    <t>Gratis untuk proyek personal/startup</t>
  </si>
  <si>
    <t>Domain + SSL</t>
  </si>
  <si>
    <t>Estimasi domain .id + hosting SSL</t>
  </si>
  <si>
    <t>Monitoring (BetterStack free tier)</t>
  </si>
  <si>
    <t>Free tier mencukupi untuk tahap awal</t>
  </si>
  <si>
    <t xml:space="preserve">  PENGGUNA &amp; KONVERSI</t>
  </si>
  <si>
    <t>Total user aktif bulan pertama launch (Oktober 2026)</t>
  </si>
  <si>
    <t>user</t>
  </si>
  <si>
    <t>Target konservatif, hasil beta + campaign kecil</t>
  </si>
  <si>
    <t>Target user aktif akhir tahun ke-1 (Oktober 2027)</t>
  </si>
  <si>
    <t>Pertumbuhan organik + referral, realistis SaaS lokal</t>
  </si>
  <si>
    <t>Rasio Free : Kredit : Pro : Enterprise</t>
  </si>
  <si>
    <t>70:20:9:1</t>
  </si>
  <si>
    <t>ratio</t>
  </si>
  <si>
    <t>Tipikal SaaS freemium, konservatif</t>
  </si>
  <si>
    <t>Konversi free ke kredit</t>
  </si>
  <si>
    <t>5% = standar bawah SaaS produk digital</t>
  </si>
  <si>
    <t>Konversi kredit ke Pro</t>
  </si>
  <si>
    <t>15% pengguna kredit upgrade ke Pro</t>
  </si>
  <si>
    <t>Rata-rata foto diproses/bulan - Tier Kredit</t>
  </si>
  <si>
    <t>foto</t>
  </si>
  <si>
    <t>1 paket kredit 50 foto per bulan</t>
  </si>
  <si>
    <t>Rata-rata foto diproses/bulan - Tier Pro</t>
  </si>
  <si>
    <t>Pengguna Pro aktif, estimasi konservatif</t>
  </si>
  <si>
    <t>Rata-rata foto diproses/bulan - Tier Enterprise</t>
  </si>
  <si>
    <t>Batch processing UMKM/agensi, async mode</t>
  </si>
  <si>
    <t xml:space="preserve">  HARGA JUAL</t>
  </si>
  <si>
    <t>Harga jual - Tier Gratis</t>
  </si>
  <si>
    <t>Free, client-side, tidak ada GPU server</t>
  </si>
  <si>
    <t>Harga jual - Kredit pack 50 foto</t>
  </si>
  <si>
    <t>Penetration pricing, fokus akuisisi pengguna</t>
  </si>
  <si>
    <t>Harga jual - Pro per bulan</t>
  </si>
  <si>
    <t>Setara Rp 967/hari, affordable untuk kreator lokal</t>
  </si>
  <si>
    <t>Harga jual - Pro per tahun</t>
  </si>
  <si>
    <t>Rp/tahun</t>
  </si>
  <si>
    <t>Diskon kurang lebih 28% vs monthly</t>
  </si>
  <si>
    <t>Harga jual - Enterprise (minimum)</t>
  </si>
  <si>
    <t>Custom, range Rp 500K-5 juta/bulan</t>
  </si>
  <si>
    <t xml:space="preserve">  SKENARIO VOLUME</t>
  </si>
  <si>
    <t>Volume foto per hari - skenario optimistis</t>
  </si>
  <si>
    <t>Asumsi viral + partnership UMKM besar</t>
  </si>
  <si>
    <t>Volume foto per hari - skenario moderat</t>
  </si>
  <si>
    <t>Pertumbuhan organik normal</t>
  </si>
  <si>
    <t>Volume foto per hari - skenario konservatif</t>
  </si>
  <si>
    <t>Minimal viable, awal launch, awareness rendah</t>
  </si>
  <si>
    <t>Kurs USD/IDR (untuk konversi biaya cloud)</t>
  </si>
  <si>
    <t>Rp/USD</t>
  </si>
  <si>
    <t>Referensi: BI rate Mei 2026 +/- 500</t>
  </si>
  <si>
    <t>Teks biru = input yang dapat diubah  |  Teks hitam = formula otomatis  |  Teks hijau = tautan antar sheet</t>
  </si>
  <si>
    <t>HARGA POKOK PRODUKSI (HPP) PER UNIT - ATHENA</t>
  </si>
  <si>
    <t>HPP dihitung berdasarkan unit economics per foto. Semua formula mengacu ke sheet ASUMSI.</t>
  </si>
  <si>
    <t>Komponen Biaya</t>
  </si>
  <si>
    <t>Per 1 Foto
(Kredit)</t>
  </si>
  <si>
    <t>Per 50 Foto
(Pack Kredit)</t>
  </si>
  <si>
    <t>Per 1.000 Foto
(Scale)</t>
  </si>
  <si>
    <t>Catatan / Sumber</t>
  </si>
  <si>
    <t xml:space="preserve">  BIAYA VARIABEL - TIER KREDIT (SERVER-SIDE, PGD STANDARD)</t>
  </si>
  <si>
    <t>GPU Inference (PGD standard, kurang lebih 5 detik)</t>
  </si>
  <si>
    <t>Replicate.com, volume 1K dapat diskon kurang lebih 15%</t>
  </si>
  <si>
    <t>Storage Sementara (Cloudflare R2, 5MB)</t>
  </si>
  <si>
    <t>Auto-delete &lt;24 jam, $0.015/GB</t>
  </si>
  <si>
    <t>Bandwidth / Egress (5MB per foto keluar)</t>
  </si>
  <si>
    <t>R2 egress, stabil per unit</t>
  </si>
  <si>
    <t>Backend &amp; Queue Overhead (alokasi/foto)</t>
  </si>
  <si>
    <t>Overhead tetap makin efisien di volume tinggi</t>
  </si>
  <si>
    <t>Payment Fee Midtrans (2.9% / 50 foto)</t>
  </si>
  <si>
    <t>2.9% dari harga jual, volume 1K = 20 transaksi pack</t>
  </si>
  <si>
    <t>TOTAL HPP - TIER KREDIT</t>
  </si>
  <si>
    <t>Total semua komponen biaya variabel</t>
  </si>
  <si>
    <t xml:space="preserve">  ANALISIS HARGA JUAL &amp; MARGIN - TIER KREDIT</t>
  </si>
  <si>
    <t>Harga Jual</t>
  </si>
  <si>
    <t>Total HPP</t>
  </si>
  <si>
    <t>Laba Kotor (Gross Profit)</t>
  </si>
  <si>
    <t>Gross Margin (%)</t>
  </si>
  <si>
    <t xml:space="preserve">  BIAYA VARIABEL - TIER PRO / ENTERPRISE (CA-PGD + ENSEMBLE PENUH)</t>
  </si>
  <si>
    <t>GPU Inference (CA-PGD+Ensemble, kurang lebih 30 detik)</t>
  </si>
  <si>
    <t>Ensemble ResNet-50 + VGG-19 + ViT-B/16</t>
  </si>
  <si>
    <t>Storage Sementara (Cloudflare R2)</t>
  </si>
  <si>
    <t>Rate sama, file lebih besar karena 8K resolution</t>
  </si>
  <si>
    <t>Bandwidth / Egress</t>
  </si>
  <si>
    <t>Stabil per unit</t>
  </si>
  <si>
    <t>Backend &amp; Queue Overhead</t>
  </si>
  <si>
    <t>Pro batch lebih efisien</t>
  </si>
  <si>
    <t>Athena Seal (watermark forensik, alokasi R&amp;D)</t>
  </si>
  <si>
    <t>Alokasi biaya komputasi steganografi DCT</t>
  </si>
  <si>
    <t>TOTAL HPP - TIER PRO / ENTERPRISE</t>
  </si>
  <si>
    <t xml:space="preserve">  ANALISIS HARGA JUAL &amp; MARGIN - TIER PRO (rata-rata 120 foto/bulan)</t>
  </si>
  <si>
    <t>Harga Jual (per foto rata-rata)</t>
  </si>
  <si>
    <t>HPP per foto rata-rata</t>
  </si>
  <si>
    <t>Laba Kotor per foto</t>
  </si>
  <si>
    <t>ANALISIS SKENARIO HPP - OPTIMISTIS | MODERAT | KONSERVATIF</t>
  </si>
  <si>
    <t>Parameter</t>
  </si>
  <si>
    <t>Optimistis</t>
  </si>
  <si>
    <t>Moderat</t>
  </si>
  <si>
    <t>Konservatif</t>
  </si>
  <si>
    <t>GPU cost per foto - Kredit (Rp)</t>
  </si>
  <si>
    <t>Optimis: batch besar + cache hit, Konservatif: cold start</t>
  </si>
  <si>
    <t>GPU cost per foto - Pro (Rp)</t>
  </si>
  <si>
    <t>Optimis: reservasi GPU spot instance, Konservatif: on-demand</t>
  </si>
  <si>
    <t>Storage cost per foto (Rp)</t>
  </si>
  <si>
    <t>Optimis: kompresi lebih agresif, Konservatif: ukuran file besar</t>
  </si>
  <si>
    <t>Bandwidth per foto (Rp)</t>
  </si>
  <si>
    <t>Tergantung CDN edge location pengguna</t>
  </si>
  <si>
    <t>Backend overhead per foto (Rp)</t>
  </si>
  <si>
    <t>Makin banyak user, overhead per foto makin kecil</t>
  </si>
  <si>
    <t>Payment fee (Midtrans %)</t>
  </si>
  <si>
    <t>Optimis: negosiasi rate lebih rendah di volume tinggi</t>
  </si>
  <si>
    <t>Jumlah user aktif berbayar (org)</t>
  </si>
  <si>
    <t>Tahun pertama penuh, target realistis berdasarkan FIKSI community</t>
  </si>
  <si>
    <t>Rata-rata foto/user/bulan - Kredit</t>
  </si>
  <si>
    <t>Optimis: pengguna sering promosi, Konservatif: occasional use</t>
  </si>
  <si>
    <t>Rata-rata foto/user/bulan - Pro</t>
  </si>
  <si>
    <t>Pro: unlimited, konservatif = casual pro user</t>
  </si>
  <si>
    <t>Distribusi Kredit : Pro : Enterprise (%)</t>
  </si>
  <si>
    <t>50:40:10</t>
  </si>
  <si>
    <t>55:40:5</t>
  </si>
  <si>
    <t>70:27:3</t>
  </si>
  <si>
    <t>Mix pengguna berbayar, Optimis: lebih banyak Pro</t>
  </si>
  <si>
    <t xml:space="preserve">  RINGKASAN HPP TERHITUNG - PER FOTO KREDIT (SERVER-SIDE)</t>
  </si>
  <si>
    <t>HPP per 1 foto (Kredit tier)</t>
  </si>
  <si>
    <t>HPP per 1 foto (Pro tier)</t>
  </si>
  <si>
    <t>Harga jual per foto (Kredit: Rp5K/50)</t>
  </si>
  <si>
    <t>Harga jual per foto (Pro: Rp29K/120 foto)</t>
  </si>
  <si>
    <t>Gross Margin — Kredit (%)</t>
  </si>
  <si>
    <t>Gross Margin — Pro (%)</t>
  </si>
  <si>
    <t>Laba per 1.000 foto — Kredit (Rp)</t>
  </si>
  <si>
    <t>Laba per 1.000 foto — Pro (Rp)</t>
  </si>
  <si>
    <t>Skenario/Tier</t>
  </si>
  <si>
    <t>Tier Kredit</t>
  </si>
  <si>
    <t>Tier Pro</t>
  </si>
  <si>
    <t>ANALISIS &amp; INTERPRETASI BISNIS - HPP ATHENA</t>
  </si>
  <si>
    <t xml:space="preserve">  1. APAKAH HARGA JUAL SEHAT?</t>
  </si>
  <si>
    <t>Tier Kredit (Rp 5.000/50 foto = Rp 100/foto) dirancang sebagai penetration pricing untuk akuisisi pengguna awal, dengan margin yang sangat tipis namun terkendali pada skenario moderat. Tier Pro (Rp 29.000/bulan, asumsi 120 foto) menghasilkan gross margin 23–38% bergantung skenario — ini adalah margin yang sehat untuk produk SaaS digital tahap awal. Harga jual ATHENA tidak perlu memaksimalkan margin di semua tier: Tier Gratis dan Kredit berfungsi sebagai funnel akuisisi, sedangkan Pro dan Enterprise yang menghasilkan profitabilitas riil.</t>
  </si>
  <si>
    <t xml:space="preserve">  2. APAKAH MARGIN AMAN?</t>
  </si>
  <si>
    <t>Pada skenario moderat (yang direkomendasikan sebagai basis perencanaan), gross margin Pro berada di kisaran 23–30%. Ini konsisten dengan standar industri SaaS B2C Asia Tenggara pada tahap seed/pre-series A. Tier Enterprise dengan custom pricing memiliki margin potensial &gt;50% karena biaya GPU per foto menurun drastis pada volume batch tinggi. Secara keseluruhan, blended margin ATHENA diestimasikan di 18–25% pada tahun pertama — cukup kuat untuk menutupi fixed cost dan tetap menghasilkan laba bersih positif di kuartal ketiga.</t>
  </si>
  <si>
    <t xml:space="preserve">  3. TITIK IMPAS (BREAK-EVEN SEDERHANA)</t>
  </si>
  <si>
    <t>Total biaya tetap bulanan (hosting + database + Redis + domain) = ± Rp 750.000/bulan. Dengan asumsi rata-rata revenue per user berbayar Rp 15.000/bulan, dibutuhkan minimal 50 pengguna berbayar untuk mencapai break-even di sisi biaya tetap. Pada skenario moderat (200 user aktif, 30% berbayar = 60 user berbayar), ATHENA melewati titik impas biaya tetap di bulan ke-3 setelah launch. Ini adalah titik impas yang sangat realistis dan dapat dicapai dalam timeframe FIKSI.</t>
  </si>
  <si>
    <t xml:space="preserve">  4. RISIKO BIAYA TERBESAR</t>
  </si>
  <si>
    <t>Risiko terbesar ATHENA adalah biaya GPU inference yang bersifat variabel dan langsung proporsional dengan volume pemrosesan. Jika viral campaign berhasil tetapi monetisasi terlambat, biaya GPU bisa melonjak tanpa diimbangi revenue. Mitigasi: (a) Free tier diproses client-side = Rp 0 GPU; (b) Rate limiting per tier memastikan tidak ada pengguna gratis yang membebani server; (c) GPU inference hanya berjalan saat ada transaksi (pay-per-call), bukan server menyala 24 jam. Risiko kedua adalah churn tinggi pada kredit tier jika nilai produk tidak tersampaikan di 3 penggunaan pertama.</t>
  </si>
  <si>
    <t xml:space="preserve">  5. LANGKAH PENGENDALIAN HPP</t>
  </si>
  <si>
    <t>Lima strategi pengendalian HPP ATHENA: (1) Model caching — perturbasi yang sama untuk foto serupa dapat di-cache, mengurangi GPU call; (2) Batching otomatis — Pro/Enterprise batch multiple foto dalam satu GPU call; (3) Optimisasi model — FGSM untuk draft, CA-PGD hanya untuk versi final; (4) Cold-start optimization — warm model selama jam sibuk, scale-to-zero di malam hari; (5) Revenue-linked scaling — infrastruktur naik hanya setelah revenue threshold terpenuhi, bukan di muka.</t>
  </si>
  <si>
    <t xml:space="preserve">  6. KESIMPULAN — KELAYAKAN HPP UNTUK TAHAP PERENCANAAN FIKSI 2026</t>
  </si>
  <si>
    <t>Model biaya ATHENA layak secara finansial untuk tahap perencanaan usaha FIKSI 2026 karena tiga alasan utama: (1) Struktur biaya variabel yang dominan berarti tidak ada risiko biaya tetap besar sebelum ada pengguna; (2) Free tier client-side mengeliminasi biaya GPU untuk segmen akuisisi terbesar; (3) Pro dan Enterprise tier memiliki margin yang cukup untuk menutupi semua biaya operasional pada skala yang realistis dan dapat dicapai dalam 12 bulan pertama. ATHENA bukan proposisi finansial spekulatif — ini adalah model yang sudah divalidasi oleh praktik industri SaaS serupa (Canva, Remove.bg, dan CloudConvert semuanya menggunakan model pay-per-processing yang analog).</t>
  </si>
  <si>
    <t>TABEL HARGA &amp; PAKET LAYANAN - ATHENA</t>
  </si>
  <si>
    <t>FITUR / PARAMETER</t>
  </si>
  <si>
    <t>GRATIS</t>
  </si>
  <si>
    <t>KREDIT</t>
  </si>
  <si>
    <t>PRO</t>
  </si>
  <si>
    <t>ENTERPRISE</t>
  </si>
  <si>
    <t>Harga</t>
  </si>
  <si>
    <t>Rp 0
(Selamanya)</t>
  </si>
  <si>
    <t>Rp 5.000
/ 50 foto
Rp 12.000 / 150 foto</t>
  </si>
  <si>
    <t>Rp 29.000/bulan
Rp 249.000/tahun</t>
  </si>
  <si>
    <t>Rp 500K – 5 Juta
/ bulan
(Custom)</t>
  </si>
  <si>
    <t>Jumlah Foto</t>
  </si>
  <si>
    <t>5 foto/hari
(client-side)</t>
  </si>
  <si>
    <t>50 foto/pack
(90 hari)</t>
  </si>
  <si>
    <t>Unlimited
(avg 120/bln)</t>
  </si>
  <si>
    <t>Unlimited + Batch
Async</t>
  </si>
  <si>
    <t>Mode Proses</t>
  </si>
  <si>
    <t>Client-side TF.js
(browser)</t>
  </si>
  <si>
    <t>Server-side PGD
(standard)</t>
  </si>
  <si>
    <t>CA-PGD + Ensemble
(full 4A Shield)</t>
  </si>
  <si>
    <t>CA-PGD + Ensemble
+ Dedicated API</t>
  </si>
  <si>
    <t>Resolusi Maksimum</t>
  </si>
  <si>
    <t>1080p</t>
  </si>
  <si>
    <t>4K</t>
  </si>
  <si>
    <t>8K</t>
  </si>
  <si>
    <t>Unlimited</t>
  </si>
  <si>
    <t>Athena Seal</t>
  </si>
  <si>
    <t>Tidak</t>
  </si>
  <si>
    <t>Ya (forensik)</t>
  </si>
  <si>
    <t>Ya + Custom</t>
  </si>
  <si>
    <t>Watermark ATHENA</t>
  </si>
  <si>
    <t>Ya</t>
  </si>
  <si>
    <t>Tidak (white-label)</t>
  </si>
  <si>
    <t>Waktu Proses</t>
  </si>
  <si>
    <t>30-90 detik</t>
  </si>
  <si>
    <t>15-45 detik</t>
  </si>
  <si>
    <t>Async + notif</t>
  </si>
  <si>
    <t>Batch Upload</t>
  </si>
  <si>
    <t>Max 20 foto</t>
  </si>
  <si>
    <t>Max 500 foto</t>
  </si>
  <si>
    <t>SLA Uptime</t>
  </si>
  <si>
    <t>Best effort</t>
  </si>
  <si>
    <t>99.5%</t>
  </si>
  <si>
    <t>99.9%</t>
  </si>
  <si>
    <t>Priority Support</t>
  </si>
  <si>
    <t>Email 48 jam</t>
  </si>
  <si>
    <t>Dedicated + WhatsApp</t>
  </si>
  <si>
    <t>Invoice Resmi</t>
  </si>
  <si>
    <t>Target Pengguna</t>
  </si>
  <si>
    <t>Pelajar, coba
awareness</t>
  </si>
  <si>
    <t>UMKM occasional
Kreator sesekali</t>
  </si>
  <si>
    <t>Kreator aktif
Fotografer</t>
  </si>
  <si>
    <t>UMKM menengah
Agensi kreatif</t>
  </si>
  <si>
    <t xml:space="preserve">  ANALISIS MARGIN PER TIER</t>
  </si>
  <si>
    <t>HPP per foto (rata-rata)</t>
  </si>
  <si>
    <t>Rp 0</t>
  </si>
  <si>
    <t>Estimasi Rp 175 (custom)</t>
  </si>
  <si>
    <t>Harga Jual per foto</t>
  </si>
  <si>
    <t>Custom quote</t>
  </si>
  <si>
    <t>N/A</t>
  </si>
  <si>
    <t>&gt;60%</t>
  </si>
  <si>
    <t>Potensi Revenue/bulan</t>
  </si>
  <si>
    <t>Rp 0 (funnel)</t>
  </si>
  <si>
    <t>PROYEKSI KEUANGAN 12 BULAN - ATHENA (Nov 2026 - Okt 2027)</t>
  </si>
  <si>
    <t>Semua nilai dalam Rupiah (Rp). Skenario: Moderat. Formula otomatis dari sheet ASUMSI.</t>
  </si>
  <si>
    <t>Bulan</t>
  </si>
  <si>
    <t>User Total</t>
  </si>
  <si>
    <t>User Berbayar</t>
  </si>
  <si>
    <t>Transaksi</t>
  </si>
  <si>
    <t>Gross Revenue</t>
  </si>
  <si>
    <t>Gross Profit</t>
  </si>
  <si>
    <t>Fixed Cost</t>
  </si>
  <si>
    <t>Net Profit</t>
  </si>
  <si>
    <t>Pertumbuhan Rev</t>
  </si>
  <si>
    <t>Nov 2026</t>
  </si>
  <si>
    <t>Des 2026</t>
  </si>
  <si>
    <t>Jan 2027</t>
  </si>
  <si>
    <t>Feb 2027</t>
  </si>
  <si>
    <t>Mar 2027</t>
  </si>
  <si>
    <t>Apr 2027</t>
  </si>
  <si>
    <t>Mei 2027</t>
  </si>
  <si>
    <t>Jun 2027</t>
  </si>
  <si>
    <t>Jul 2027</t>
  </si>
  <si>
    <t>Ags 2027</t>
  </si>
  <si>
    <t>Sep 2027</t>
  </si>
  <si>
    <t>Okt 2027</t>
  </si>
  <si>
    <t>TOTAL / RATA-RATA</t>
  </si>
  <si>
    <t>RINGKASAN EVALUASI FIKSI 2026 - ATHENA</t>
  </si>
  <si>
    <t>Ringkasan ini disiapkan khusus untuk kebutuhan penilaian Kategori Rencana Usaha FIKSI 2026</t>
  </si>
  <si>
    <t xml:space="preserve">  MASALAH YANG DISELESAIKAN</t>
  </si>
  <si>
    <t>Setiap hari lebih dari 40 juta foto diunggah pengguna Indonesia ke platform digital. Tanpa sepengetahuan mereka, foto tersebut di-scrape secara otomatis oleh perusahaan AI global untuk melatih model, mulai dari pengenalan wajah, deepfake generator, hingga AI generatif yang meniru motif budaya lokal. Dampaknya: (1) Perempuan dan pelajar rentan terhadap KBGO digital; (2) Pengrajin batik, tenun, dan ukiran kehilangan hak kekayaan intelektual visual mereka; (3) Tidak ada solusi lokal yang terjangkau dan mudah digunakan untuk masalah ini.</t>
  </si>
  <si>
    <t xml:space="preserve">  SOLUSI YANG DITAWARKAN</t>
  </si>
  <si>
    <t>ATHENA adalah platform SaaS pertama di Indonesia yang memungkinkan siapa pun melindungi foto dan karya visual dari eksploitasi AI menggunakan teknologi 4A Shield (Anti-AI, Anti-NSFW, Anti-Deepfake, Anti-Training). Dengan arsitektur tiga jalur: free tier client-side, paid tier server-side CA-PGD+Ensemble, dan enterprise batch async, ATHENA menjawab kebutuhan dari pelajar individual hingga UMKM kreatif dengan model biaya yang terjangkau.</t>
  </si>
  <si>
    <t xml:space="preserve">  KEUNGGULAN KOMPETITIF</t>
  </si>
  <si>
    <t>1. Pertama di Indonesia: tidak ada kompetitor lokal yang fokus pada perlindungan visual berbasis AI. 2. Kearifan lokal terintegrasi: Anti-Training khusus untuk motif batik, tenun, ukiran, bukan sekadar produk barat yang dilokalisasi. 3. Free tier tanpa GPU server cost: foto diproses di browser pengguna, privacy paradox hilang otomatis. 4. Model bisnis yang scalable: dari Rp 0 hingga enterprise custom pricing. 5. Dasar ilmiah yang terverifikasi: bukan klaim marketing, tapi reproduksi teknik yang sudah dipublikasikan (Glaze 2023, Nightshade 2023, Witches Brew 2021).</t>
  </si>
  <si>
    <t xml:space="preserve">  RELEVANSI DENGAN TEMA FIKSI 2026</t>
  </si>
  <si>
    <t>ATHENA mengintegrasikan dua pilar utama FIKSI 2026 secara langsung: (1) Teknologi Digital: penggunaan adversarial machine learning, compression-aware PGD, dan ensemble surrogate model adalah aplikasi nyata AI untuk kepentingan sosial Indonesia; (2) Ekonomi Kreatif Berbasis Kearifan Lokal: perlindungan motif batik, tenun ikat, wayang, dan kerajinan lokal dari eksploitasi AI generatif global adalah bentuk konkret pertahanan ekonomi kreatif Indonesia di era AI. Tidak ada proyek lain dalam kompetisi ini yang menjawab kedua pilar ini sekaligus secara teknis dan bisnis.</t>
  </si>
  <si>
    <t xml:space="preserve">  ALASAN PRODUK LAYAK MASUK TAHAP PERENCANAAN USAHA</t>
  </si>
  <si>
    <t>ATHENA layak karena: (1) Masalah nyata, bukan spekulatif: data KBGO digital meningkat, eksploitasi AI terhadap karya lokal terdokumentasi; (2) Solusi teknis tervalidasi: bukan prototipe baru, melainkan implementasi teknik yang sudah terbukti dalam riset akademis; (3) Model biaya realistis: ATHENA bisa diluncurkan dengan modal kurang dari Rp 1 juta/bulan di bulan pertama; (4) Target pasar jelas dan terukur: 40 juta pengunggah foto per hari di Indonesia = addressable market yang sangat besar; (5) Tim dengan kapabilitas nyata: siswa PPLG dengan stack React + Node.js + Python yang relevan dan sudah berpengalaman membangun proyek nyata.</t>
  </si>
  <si>
    <t xml:space="preserve">  MENGAPA HPP INI REALISTIS DAN DAPAT DIPERTANGGUNGJAWABKAN</t>
  </si>
  <si>
    <t>Model HPP ATHENA dibangun di atas tiga prinsip akuntabilitas: (1) Semua asumsi biaya bersumber dari pricing page layanan cloud aktual (Replicate.com, Cloudflare R2, Midtrans, Railway.app), bukan estimasi generik; (2) Struktur biaya variabel dominan berarti HPP tidak melonjak tanpa ada pendapatan yang mengimbangi; (3) Skenario konservatif, moderat, dan optimistis masing-masing menunjukkan bahwa produk tetap viable meski realitas meleset 30-40% dari target. Ini adalah proposal yang jujur tentang biaya sebenarnya, bukan angka yang dibuat terlihat bagus untuk lomba.</t>
  </si>
  <si>
    <t>DASHBOARD EKSEKUTIF - ATHENA FIKSI 2026</t>
  </si>
  <si>
    <t>Ringkasan visual profesional untuk penilaian juri — semua angka formula otomatis</t>
  </si>
  <si>
    <t xml:space="preserve">  HPP per Foto (Kredit)</t>
  </si>
  <si>
    <t xml:space="preserve">  HPP per Foto (Pro)</t>
  </si>
  <si>
    <t xml:space="preserve">  Gross Margin (Pro)</t>
  </si>
  <si>
    <t xml:space="preserve">  Laba per 1.000 Foto (Pro)</t>
  </si>
  <si>
    <t>Biaya variabel server-side tier kredit</t>
  </si>
  <si>
    <t>Biaya CA-PGD+Ensemble per foto</t>
  </si>
  <si>
    <t>Margin kotor tier Pro skenario moderat</t>
  </si>
  <si>
    <t>Laba kotor pada volume 1.000 foto Pro</t>
  </si>
  <si>
    <t xml:space="preserve">  Target User Thn 1</t>
  </si>
  <si>
    <t xml:space="preserve">  Break-even User Berbayar</t>
  </si>
  <si>
    <t xml:space="preserve">  Total HPP Fixed/Bulan</t>
  </si>
  <si>
    <t xml:space="preserve">  Proyeksi Revenue Thn 1</t>
  </si>
  <si>
    <t>User aktif akhir bulan ke-12</t>
  </si>
  <si>
    <t>Minimum user berbayar untuk tutup fixed cost</t>
  </si>
  <si>
    <t>Total biaya tetap infrastruktur per bulan</t>
  </si>
  <si>
    <t>Total gross revenue 12 bulan pertama</t>
  </si>
  <si>
    <t xml:space="preserve">  PERBANDINGAN SKENARIO - GROSS MARGIN PER TIER</t>
  </si>
  <si>
    <t>Gross Margin Kredit</t>
  </si>
  <si>
    <t>Gross Margin Pro</t>
  </si>
  <si>
    <t>Laba per 1K Foto (Kredit)</t>
  </si>
  <si>
    <t>Laba per 1K Foto (Pro)</t>
  </si>
  <si>
    <t xml:space="preserve">  VISUALISASI TREN PERTUMBUHAN REVENUE (12 BULAN)</t>
  </si>
  <si>
    <t>ATHENA - Platform Perlindungan Visual Berbasis AI | FIKSI 2026 | Dokumen Finansial 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</si>
</sst>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Calibri"/>
      <family val="2"/>
      <scheme val="minor"/>
    </font>
    <font>
      <b/>
      <sz val="36"/>
      <color rgb="FFFFFFFF"/>
      <name val="Calibri"/>
    </font>
    <font>
      <i/>
      <sz val="14"/>
      <color rgb="FFAACCFF"/>
      <name val="Calibri"/>
    </font>
    <font>
      <b/>
      <sz val="16"/>
      <color rgb="FFFFFFFF"/>
      <name val="Calibri"/>
    </font>
    <font>
      <i/>
      <sz val="11"/>
      <color rgb="FFF5A623"/>
      <name val="Calibri"/>
    </font>
    <font>
      <b/>
      <sz val="11"/>
      <color rgb="FFFFFFFF"/>
      <name val="Calibri"/>
    </font>
    <font>
      <b/>
      <sz val="10"/>
      <color rgb="FF1B2A4A"/>
      <name val="Calibri"/>
    </font>
    <font>
      <sz val="10"/>
      <color rgb="FF1B1B2F"/>
      <name val="Calibri"/>
    </font>
    <font>
      <b/>
      <sz val="10"/>
      <color rgb="FF3B6B9A"/>
      <name val="Calibri"/>
    </font>
    <font>
      <i/>
      <sz val="9"/>
      <color rgb="FF9AA3B2"/>
      <name val="Calibri"/>
    </font>
    <font>
      <i/>
      <sz val="9"/>
      <color rgb="FF2D5BE3"/>
      <name val="Calibri"/>
    </font>
    <font>
      <b/>
      <sz val="10"/>
      <color rgb="FF0000FF"/>
      <name val="Calibri"/>
    </font>
    <font>
      <sz val="9"/>
      <color rgb="FF9AA3B2"/>
      <name val="Calibri"/>
    </font>
    <font>
      <b/>
      <sz val="15"/>
      <color rgb="FFFFFFFF"/>
      <name val="Calibri"/>
    </font>
    <font>
      <b/>
      <sz val="10"/>
      <color rgb="FFFFFFFF"/>
      <name val="Calibri"/>
    </font>
    <font>
      <sz val="10"/>
      <color rgb="FF000000"/>
      <name val="Calibri"/>
    </font>
    <font>
      <sz val="10"/>
      <color rgb="FFFFFFFF"/>
      <name val="Calibri"/>
    </font>
    <font>
      <b/>
      <sz val="10"/>
      <color rgb="FF1B1B2F"/>
      <name val="Calibri"/>
    </font>
    <font>
      <b/>
      <sz val="10"/>
      <color rgb="FF000000"/>
      <name val="Calibri"/>
    </font>
    <font>
      <b/>
      <sz val="12"/>
      <color rgb="FFFFFFFF"/>
      <name val="Calibri"/>
    </font>
    <font>
      <b/>
      <sz val="11"/>
      <color rgb="FF1B1B2F"/>
      <name val="Calibri"/>
    </font>
    <font>
      <b/>
      <sz val="11"/>
      <color rgb="FF1A7F4E"/>
      <name val="Calibri"/>
    </font>
    <font>
      <b/>
      <sz val="11"/>
      <color rgb="FF2D5BE3"/>
      <name val="Calibri"/>
    </font>
    <font>
      <b/>
      <sz val="11"/>
      <color rgb="FFC0392B"/>
      <name val="Calibri"/>
    </font>
    <font>
      <b/>
      <sz val="13"/>
      <color rgb="FF1B1B2F"/>
      <name val="Calibri"/>
    </font>
    <font>
      <b/>
      <sz val="13"/>
      <color rgb="FF2D5BE3"/>
      <name val="Calibri"/>
    </font>
    <font>
      <b/>
      <sz val="13"/>
      <color rgb="FF3B6B9A"/>
      <name val="Calibri"/>
    </font>
    <font>
      <b/>
      <sz val="13"/>
      <color rgb="FFFFFFFF"/>
      <name val="Calibri"/>
    </font>
    <font>
      <b/>
      <sz val="11"/>
      <color rgb="FF3B6B9A"/>
      <name val="Calibri"/>
    </font>
    <font>
      <i/>
      <sz val="10"/>
      <color rgb="FF3B6B9A"/>
      <name val="Calibri"/>
    </font>
    <font>
      <b/>
      <sz val="18"/>
      <color rgb="FFFFFFFF"/>
      <name val="Calibri"/>
    </font>
    <font>
      <i/>
      <sz val="10"/>
      <color rgb="FF2D5BE3"/>
      <name val="Calibri"/>
    </font>
    <font>
      <b/>
      <sz val="9"/>
      <color rgb="FFFFFFFF"/>
      <name val="Calibri"/>
    </font>
    <font>
      <b/>
      <sz val="20"/>
      <color rgb="FF2D5BE3"/>
      <name val="Calibri"/>
    </font>
    <font>
      <i/>
      <sz val="8"/>
      <color rgb="FF9AA3B2"/>
      <name val="Calibri"/>
    </font>
    <font>
      <b/>
      <sz val="20"/>
      <color rgb="FF3B6B9A"/>
      <name val="Calibri"/>
    </font>
    <font>
      <b/>
      <sz val="20"/>
      <color rgb="FF1A7F4E"/>
      <name val="Calibri"/>
    </font>
    <font>
      <b/>
      <sz val="20"/>
      <color rgb="FF1B2A4A"/>
      <name val="Calibri"/>
    </font>
    <font>
      <b/>
      <sz val="20"/>
      <color rgb="FFC0392B"/>
      <name val="Calibri"/>
    </font>
    <font>
      <b/>
      <sz val="20"/>
      <color rgb="FFF5A623"/>
      <name val="Calibri"/>
    </font>
    <font>
      <b/>
      <sz val="11"/>
      <color rgb="FF1B2A4A"/>
      <name val="Calibri"/>
    </font>
  </fonts>
  <fills count="15">
    <fill>
      <patternFill patternType="none"/>
    </fill>
    <fill>
      <patternFill patternType="gray125"/>
    </fill>
    <fill>
      <patternFill patternType="solid">
        <fgColor rgb="FF1B2A4A"/>
      </patternFill>
    </fill>
    <fill>
      <patternFill patternType="solid">
        <fgColor rgb="FF2D5BE3"/>
      </patternFill>
    </fill>
    <fill>
      <patternFill patternType="solid">
        <fgColor rgb="FF3B6B9A"/>
      </patternFill>
    </fill>
    <fill>
      <patternFill patternType="solid">
        <fgColor rgb="FFEAF0FF"/>
      </patternFill>
    </fill>
    <fill>
      <patternFill patternType="solid">
        <fgColor rgb="FFFFFFFF"/>
      </patternFill>
    </fill>
    <fill>
      <patternFill patternType="solid">
        <fgColor rgb="FFE8EEF4"/>
      </patternFill>
    </fill>
    <fill>
      <patternFill patternType="solid">
        <fgColor rgb="FF1A7F4E"/>
      </patternFill>
    </fill>
    <fill>
      <patternFill patternType="solid">
        <fgColor rgb="FFC0392B"/>
      </patternFill>
    </fill>
    <fill>
      <patternFill patternType="solid">
        <fgColor rgb="FFF4F6FB"/>
      </patternFill>
    </fill>
    <fill>
      <patternFill patternType="solid">
        <fgColor rgb="FFF5A623"/>
      </patternFill>
    </fill>
    <fill>
      <patternFill patternType="solid">
        <fgColor rgb="FFF8F8F8"/>
      </patternFill>
    </fill>
    <fill>
      <patternFill patternType="solid">
        <fgColor theme="0"/>
        <bgColor indexed="64"/>
      </patternFill>
    </fill>
    <fill>
      <patternFill patternType="solid">
        <fgColor rgb="FF00B050"/>
        <bgColor indexed="64"/>
      </patternFill>
    </fill>
  </fills>
  <borders count="5">
    <border>
      <left/>
      <right/>
      <top/>
      <bottom/>
      <diagonal/>
    </border>
    <border>
      <left style="thin">
        <color rgb="FFBBBBCC"/>
      </left>
      <right style="thin">
        <color rgb="FFBBBBCC"/>
      </right>
      <top style="thin">
        <color rgb="FFBBBBCC"/>
      </top>
      <bottom style="thin">
        <color rgb="FFBBBBCC"/>
      </bottom>
      <diagonal/>
    </border>
    <border>
      <left/>
      <right/>
      <top style="thin">
        <color rgb="FFBBBBCC"/>
      </top>
      <bottom style="thin">
        <color rgb="FFBBBBCC"/>
      </bottom>
      <diagonal/>
    </border>
    <border>
      <left/>
      <right style="thin">
        <color rgb="FFBBBBCC"/>
      </right>
      <top style="thin">
        <color rgb="FFBBBBCC"/>
      </top>
      <bottom style="thin">
        <color rgb="FFBBBBCC"/>
      </bottom>
      <diagonal/>
    </border>
    <border>
      <left style="thin">
        <color rgb="FFBBBBCC"/>
      </left>
      <right/>
      <top style="thin">
        <color rgb="FFBBBBCC"/>
      </top>
      <bottom style="thin">
        <color rgb="FFBBBBCC"/>
      </bottom>
      <diagonal/>
    </border>
  </borders>
  <cellStyleXfs count="1">
    <xf numFmtId="0" fontId="0" fillId="0" borderId="0"/>
  </cellStyleXfs>
  <cellXfs count="133">
    <xf numFmtId="0" fontId="0" fillId="0" borderId="0" xfId="0"/>
    <xf numFmtId="0" fontId="0" fillId="2" borderId="0" xfId="0" applyFill="1"/>
    <xf numFmtId="0" fontId="0" fillId="3" borderId="0" xfId="0" applyFill="1"/>
    <xf numFmtId="0" fontId="5" fillId="2"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6" borderId="1" xfId="0" applyFont="1" applyFill="1" applyBorder="1" applyAlignment="1">
      <alignment horizontal="left" vertical="center"/>
    </xf>
    <xf numFmtId="0" fontId="11" fillId="6" borderId="1" xfId="0" applyFont="1" applyFill="1" applyBorder="1" applyAlignment="1">
      <alignment horizontal="right" vertical="center"/>
    </xf>
    <xf numFmtId="0" fontId="7" fillId="6" borderId="1" xfId="0" applyFont="1" applyFill="1" applyBorder="1" applyAlignment="1">
      <alignment horizontal="center" vertical="center"/>
    </xf>
    <xf numFmtId="0" fontId="12" fillId="6" borderId="1" xfId="0" applyFont="1" applyFill="1" applyBorder="1" applyAlignment="1">
      <alignment horizontal="left" vertical="center" wrapText="1"/>
    </xf>
    <xf numFmtId="0" fontId="6" fillId="5" borderId="1" xfId="0" applyFont="1" applyFill="1" applyBorder="1" applyAlignment="1">
      <alignment horizontal="center" vertical="center"/>
    </xf>
    <xf numFmtId="0" fontId="7" fillId="5" borderId="1" xfId="0" applyFont="1" applyFill="1" applyBorder="1" applyAlignment="1">
      <alignment horizontal="left" vertical="center"/>
    </xf>
    <xf numFmtId="0" fontId="11" fillId="5" borderId="1" xfId="0" applyFont="1" applyFill="1" applyBorder="1" applyAlignment="1">
      <alignment horizontal="right" vertical="center"/>
    </xf>
    <xf numFmtId="0" fontId="7" fillId="5" borderId="1" xfId="0" applyFont="1" applyFill="1" applyBorder="1" applyAlignment="1">
      <alignment horizontal="center" vertical="center"/>
    </xf>
    <xf numFmtId="0" fontId="12" fillId="5" borderId="1" xfId="0" applyFont="1" applyFill="1" applyBorder="1" applyAlignment="1">
      <alignment horizontal="left" vertical="center" wrapText="1"/>
    </xf>
    <xf numFmtId="10" fontId="11" fillId="6" borderId="1" xfId="0" applyNumberFormat="1" applyFont="1" applyFill="1" applyBorder="1" applyAlignment="1">
      <alignment horizontal="right" vertical="center"/>
    </xf>
    <xf numFmtId="3" fontId="11" fillId="5" borderId="1" xfId="0" applyNumberFormat="1" applyFont="1" applyFill="1" applyBorder="1" applyAlignment="1">
      <alignment horizontal="right" vertical="center"/>
    </xf>
    <xf numFmtId="3" fontId="11" fillId="6" borderId="1" xfId="0" applyNumberFormat="1" applyFont="1" applyFill="1" applyBorder="1" applyAlignment="1">
      <alignment horizontal="right" vertical="center"/>
    </xf>
    <xf numFmtId="10" fontId="11" fillId="5" borderId="1" xfId="0" applyNumberFormat="1" applyFont="1" applyFill="1" applyBorder="1" applyAlignment="1">
      <alignment horizontal="right" vertical="center"/>
    </xf>
    <xf numFmtId="0" fontId="14" fillId="4" borderId="1" xfId="0" applyFont="1" applyFill="1" applyBorder="1" applyAlignment="1">
      <alignment horizontal="center" vertical="center" wrapText="1"/>
    </xf>
    <xf numFmtId="3" fontId="15" fillId="5" borderId="1" xfId="0" applyNumberFormat="1" applyFont="1" applyFill="1" applyBorder="1" applyAlignment="1">
      <alignment horizontal="right" vertical="center"/>
    </xf>
    <xf numFmtId="3" fontId="15" fillId="6" borderId="1" xfId="0" applyNumberFormat="1" applyFont="1" applyFill="1" applyBorder="1" applyAlignment="1">
      <alignment horizontal="right" vertical="center"/>
    </xf>
    <xf numFmtId="0" fontId="5" fillId="3" borderId="1" xfId="0" applyFont="1" applyFill="1" applyBorder="1" applyAlignment="1">
      <alignment horizontal="left" vertical="center"/>
    </xf>
    <xf numFmtId="3" fontId="5" fillId="3" borderId="1" xfId="0" applyNumberFormat="1" applyFont="1" applyFill="1" applyBorder="1" applyAlignment="1">
      <alignment horizontal="right" vertical="center"/>
    </xf>
    <xf numFmtId="0" fontId="16" fillId="3" borderId="1" xfId="0" applyFont="1" applyFill="1" applyBorder="1" applyAlignment="1">
      <alignment horizontal="left" vertical="center"/>
    </xf>
    <xf numFmtId="0" fontId="17" fillId="7" borderId="1" xfId="0" applyFont="1" applyFill="1" applyBorder="1" applyAlignment="1">
      <alignment horizontal="left" vertical="center"/>
    </xf>
    <xf numFmtId="3" fontId="18" fillId="7" borderId="1" xfId="0" applyNumberFormat="1" applyFont="1" applyFill="1" applyBorder="1" applyAlignment="1">
      <alignment horizontal="right" vertical="center"/>
    </xf>
    <xf numFmtId="0" fontId="7" fillId="7" borderId="1" xfId="0" applyFont="1" applyFill="1" applyBorder="1" applyAlignment="1">
      <alignment horizontal="left" vertical="center"/>
    </xf>
    <xf numFmtId="0" fontId="17" fillId="5" borderId="1" xfId="0" applyFont="1" applyFill="1" applyBorder="1" applyAlignment="1">
      <alignment horizontal="left" vertical="center"/>
    </xf>
    <xf numFmtId="164" fontId="18" fillId="5" borderId="1" xfId="0" applyNumberFormat="1" applyFont="1" applyFill="1" applyBorder="1" applyAlignment="1">
      <alignment horizontal="right" vertical="center"/>
    </xf>
    <xf numFmtId="3" fontId="5" fillId="4" borderId="1" xfId="0" applyNumberFormat="1" applyFont="1" applyFill="1" applyBorder="1" applyAlignment="1">
      <alignment horizontal="right" vertical="center"/>
    </xf>
    <xf numFmtId="0" fontId="17" fillId="6" borderId="1" xfId="0" applyFont="1" applyFill="1" applyBorder="1" applyAlignment="1">
      <alignment horizontal="left" vertical="center"/>
    </xf>
    <xf numFmtId="164" fontId="18" fillId="6" borderId="1" xfId="0" applyNumberFormat="1" applyFont="1" applyFill="1" applyBorder="1" applyAlignment="1">
      <alignment horizontal="right" vertical="center"/>
    </xf>
    <xf numFmtId="0" fontId="19" fillId="2" borderId="1" xfId="0" applyFont="1" applyFill="1" applyBorder="1" applyAlignment="1">
      <alignment horizontal="center" vertical="center"/>
    </xf>
    <xf numFmtId="0" fontId="19" fillId="8" borderId="1" xfId="0" applyFont="1" applyFill="1" applyBorder="1" applyAlignment="1">
      <alignment horizontal="center" vertical="center"/>
    </xf>
    <xf numFmtId="0" fontId="19" fillId="3" borderId="1" xfId="0" applyFont="1" applyFill="1" applyBorder="1" applyAlignment="1">
      <alignment horizontal="center" vertical="center"/>
    </xf>
    <xf numFmtId="0" fontId="19" fillId="9" borderId="1" xfId="0" applyFont="1" applyFill="1" applyBorder="1" applyAlignment="1">
      <alignment horizontal="center" vertical="center"/>
    </xf>
    <xf numFmtId="0" fontId="11" fillId="6" borderId="1" xfId="0" applyFont="1" applyFill="1" applyBorder="1" applyAlignment="1">
      <alignment horizontal="center" vertical="center"/>
    </xf>
    <xf numFmtId="0" fontId="20" fillId="0" borderId="0" xfId="0" applyFont="1"/>
    <xf numFmtId="0" fontId="21" fillId="0" borderId="0" xfId="0" applyFont="1"/>
    <xf numFmtId="0" fontId="22" fillId="0" borderId="0" xfId="0" applyFont="1"/>
    <xf numFmtId="0" fontId="23" fillId="0" borderId="0" xfId="0" applyFont="1"/>
    <xf numFmtId="164" fontId="0" fillId="0" borderId="0" xfId="0" applyNumberFormat="1"/>
    <xf numFmtId="0" fontId="24" fillId="10" borderId="1" xfId="0" applyFont="1" applyFill="1" applyBorder="1" applyAlignment="1">
      <alignment horizontal="center" vertical="center"/>
    </xf>
    <xf numFmtId="0" fontId="25" fillId="5" borderId="1" xfId="0" applyFont="1" applyFill="1" applyBorder="1" applyAlignment="1">
      <alignment horizontal="center" vertical="center"/>
    </xf>
    <xf numFmtId="0" fontId="26" fillId="7" borderId="1" xfId="0" applyFont="1" applyFill="1" applyBorder="1" applyAlignment="1">
      <alignment horizontal="center" vertical="center"/>
    </xf>
    <xf numFmtId="0" fontId="27" fillId="2" borderId="1" xfId="0" applyFont="1" applyFill="1" applyBorder="1" applyAlignment="1">
      <alignment horizontal="center" vertical="center"/>
    </xf>
    <xf numFmtId="0" fontId="17" fillId="10" borderId="1" xfId="0" applyFont="1" applyFill="1" applyBorder="1" applyAlignment="1">
      <alignment horizontal="left" vertical="center"/>
    </xf>
    <xf numFmtId="0" fontId="20" fillId="12"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5" fillId="5" borderId="1" xfId="0" applyFont="1" applyFill="1" applyBorder="1" applyAlignment="1">
      <alignment horizontal="center" vertical="center"/>
    </xf>
    <xf numFmtId="3" fontId="15" fillId="5" borderId="1" xfId="0" applyNumberFormat="1" applyFont="1" applyFill="1" applyBorder="1" applyAlignment="1">
      <alignment horizontal="center" vertical="center"/>
    </xf>
    <xf numFmtId="0" fontId="15" fillId="6" borderId="1" xfId="0" applyFont="1" applyFill="1" applyBorder="1" applyAlignment="1">
      <alignment horizontal="center" vertical="center"/>
    </xf>
    <xf numFmtId="3" fontId="15" fillId="6" borderId="1" xfId="0" applyNumberFormat="1" applyFont="1" applyFill="1" applyBorder="1" applyAlignment="1">
      <alignment horizontal="center" vertical="center"/>
    </xf>
    <xf numFmtId="164" fontId="15" fillId="5" borderId="1" xfId="0" applyNumberFormat="1" applyFont="1" applyFill="1" applyBorder="1" applyAlignment="1">
      <alignment horizontal="center" vertical="center"/>
    </xf>
    <xf numFmtId="0" fontId="6" fillId="5" borderId="1" xfId="0" applyFont="1" applyFill="1" applyBorder="1"/>
    <xf numFmtId="164" fontId="15" fillId="5" borderId="1" xfId="0" applyNumberFormat="1" applyFont="1" applyFill="1" applyBorder="1" applyAlignment="1">
      <alignment horizontal="right" vertical="center"/>
    </xf>
    <xf numFmtId="0" fontId="6" fillId="6" borderId="1" xfId="0" applyFont="1" applyFill="1" applyBorder="1"/>
    <xf numFmtId="164" fontId="15" fillId="6" borderId="1" xfId="0" applyNumberFormat="1" applyFont="1" applyFill="1" applyBorder="1" applyAlignment="1">
      <alignment horizontal="right" vertical="center"/>
    </xf>
    <xf numFmtId="0" fontId="5" fillId="2" borderId="1" xfId="0" applyFont="1" applyFill="1" applyBorder="1"/>
    <xf numFmtId="3" fontId="5" fillId="2" borderId="1" xfId="0" applyNumberFormat="1" applyFont="1" applyFill="1" applyBorder="1" applyAlignment="1">
      <alignment horizontal="right" vertical="center"/>
    </xf>
    <xf numFmtId="164" fontId="5" fillId="2" borderId="1" xfId="0" applyNumberFormat="1" applyFont="1" applyFill="1" applyBorder="1" applyAlignment="1">
      <alignment horizontal="right" vertical="center"/>
    </xf>
    <xf numFmtId="0" fontId="32" fillId="3" borderId="1" xfId="0" applyFont="1" applyFill="1" applyBorder="1" applyAlignment="1">
      <alignment horizontal="left" vertical="center"/>
    </xf>
    <xf numFmtId="0" fontId="32" fillId="4" borderId="1" xfId="0" applyFont="1" applyFill="1" applyBorder="1" applyAlignment="1">
      <alignment horizontal="left" vertical="center"/>
    </xf>
    <xf numFmtId="0" fontId="32" fillId="8" borderId="1" xfId="0" applyFont="1" applyFill="1" applyBorder="1" applyAlignment="1">
      <alignment horizontal="left" vertical="center"/>
    </xf>
    <xf numFmtId="0" fontId="32" fillId="2" borderId="1" xfId="0" applyFont="1" applyFill="1" applyBorder="1" applyAlignment="1">
      <alignment horizontal="left" vertical="center"/>
    </xf>
    <xf numFmtId="3" fontId="33" fillId="6" borderId="1" xfId="0" applyNumberFormat="1" applyFont="1" applyFill="1" applyBorder="1" applyAlignment="1">
      <alignment horizontal="center" vertical="center"/>
    </xf>
    <xf numFmtId="3" fontId="35" fillId="6" borderId="1" xfId="0" applyNumberFormat="1" applyFont="1" applyFill="1" applyBorder="1" applyAlignment="1">
      <alignment horizontal="center" vertical="center"/>
    </xf>
    <xf numFmtId="164" fontId="36" fillId="6" borderId="1" xfId="0" applyNumberFormat="1" applyFont="1" applyFill="1" applyBorder="1" applyAlignment="1">
      <alignment horizontal="center" vertical="center"/>
    </xf>
    <xf numFmtId="3" fontId="37" fillId="6" borderId="1" xfId="0" applyNumberFormat="1" applyFont="1" applyFill="1" applyBorder="1" applyAlignment="1">
      <alignment horizontal="center" vertical="center"/>
    </xf>
    <xf numFmtId="0" fontId="34" fillId="10" borderId="1" xfId="0" applyFont="1" applyFill="1" applyBorder="1" applyAlignment="1">
      <alignment horizontal="center" vertical="center" wrapText="1"/>
    </xf>
    <xf numFmtId="0" fontId="32" fillId="9" borderId="1" xfId="0" applyFont="1" applyFill="1" applyBorder="1" applyAlignment="1">
      <alignment horizontal="left" vertical="center"/>
    </xf>
    <xf numFmtId="0" fontId="32" fillId="11" borderId="1" xfId="0" applyFont="1" applyFill="1" applyBorder="1" applyAlignment="1">
      <alignment horizontal="left" vertical="center"/>
    </xf>
    <xf numFmtId="3" fontId="38" fillId="6" borderId="1" xfId="0" applyNumberFormat="1" applyFont="1" applyFill="1" applyBorder="1" applyAlignment="1">
      <alignment horizontal="center" vertical="center"/>
    </xf>
    <xf numFmtId="3" fontId="39" fillId="6" borderId="1" xfId="0" applyNumberFormat="1" applyFont="1" applyFill="1" applyBorder="1" applyAlignment="1">
      <alignment horizontal="center" vertical="center"/>
    </xf>
    <xf numFmtId="3" fontId="36" fillId="6" borderId="1"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0" fillId="0" borderId="3" xfId="0" applyBorder="1"/>
    <xf numFmtId="0" fontId="7" fillId="5" borderId="1" xfId="0" applyFont="1" applyFill="1" applyBorder="1" applyAlignment="1">
      <alignment horizontal="left" vertical="center" wrapText="1"/>
    </xf>
    <xf numFmtId="0" fontId="0" fillId="0" borderId="2" xfId="0" applyBorder="1"/>
    <xf numFmtId="0" fontId="7" fillId="6" borderId="1" xfId="0" applyFont="1" applyFill="1" applyBorder="1" applyAlignment="1">
      <alignment horizontal="left" vertical="center" wrapText="1"/>
    </xf>
    <xf numFmtId="0" fontId="2" fillId="2" borderId="0" xfId="0" applyFont="1" applyFill="1" applyAlignment="1">
      <alignment horizontal="center" vertical="center"/>
    </xf>
    <xf numFmtId="0" fontId="0" fillId="0" borderId="0" xfId="0"/>
    <xf numFmtId="0" fontId="8" fillId="6" borderId="1" xfId="0" applyFont="1" applyFill="1" applyBorder="1" applyAlignment="1">
      <alignment horizontal="center" vertical="center" wrapText="1"/>
    </xf>
    <xf numFmtId="0" fontId="1" fillId="2" borderId="0" xfId="0" applyFont="1" applyFill="1" applyAlignment="1">
      <alignment horizontal="center" vertical="center"/>
    </xf>
    <xf numFmtId="0" fontId="9" fillId="0" borderId="0" xfId="0" applyFont="1" applyAlignment="1">
      <alignment horizontal="center" vertical="center"/>
    </xf>
    <xf numFmtId="0" fontId="6" fillId="6" borderId="1" xfId="0" applyFont="1" applyFill="1" applyBorder="1" applyAlignment="1">
      <alignment horizontal="left" vertical="center"/>
    </xf>
    <xf numFmtId="0" fontId="5" fillId="2" borderId="1" xfId="0" applyFont="1" applyFill="1" applyBorder="1" applyAlignment="1">
      <alignment horizontal="left" vertical="center"/>
    </xf>
    <xf numFmtId="0" fontId="8"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3" fillId="2" borderId="0" xfId="0" applyFont="1" applyFill="1" applyAlignment="1">
      <alignment horizontal="center" vertical="center"/>
    </xf>
    <xf numFmtId="0" fontId="5" fillId="4" borderId="1" xfId="0" applyFont="1" applyFill="1" applyBorder="1" applyAlignment="1">
      <alignment horizontal="left" vertical="center"/>
    </xf>
    <xf numFmtId="0" fontId="4" fillId="2" borderId="0" xfId="0" applyFont="1" applyFill="1" applyAlignment="1">
      <alignment horizontal="center" vertical="center"/>
    </xf>
    <xf numFmtId="0" fontId="10" fillId="5" borderId="1" xfId="0" applyFont="1" applyFill="1" applyBorder="1" applyAlignment="1">
      <alignment horizontal="left" vertical="center"/>
    </xf>
    <xf numFmtId="0" fontId="10" fillId="5" borderId="0" xfId="0" applyFont="1" applyFill="1" applyAlignment="1">
      <alignment horizontal="center" vertical="center"/>
    </xf>
    <xf numFmtId="0" fontId="3" fillId="2" borderId="1" xfId="0" applyFont="1" applyFill="1" applyBorder="1" applyAlignment="1">
      <alignment horizontal="center" vertical="center"/>
    </xf>
    <xf numFmtId="0" fontId="13" fillId="2" borderId="0" xfId="0" applyFont="1" applyFill="1" applyAlignment="1">
      <alignment horizontal="center" vertical="center"/>
    </xf>
    <xf numFmtId="0" fontId="19" fillId="9" borderId="1" xfId="0" applyFont="1" applyFill="1" applyBorder="1" applyAlignment="1">
      <alignment horizontal="left" vertical="center"/>
    </xf>
    <xf numFmtId="0" fontId="19" fillId="8" borderId="1" xfId="0" applyFont="1" applyFill="1" applyBorder="1" applyAlignment="1">
      <alignment horizontal="left" vertical="center"/>
    </xf>
    <xf numFmtId="0" fontId="19" fillId="3" borderId="1" xfId="0" applyFont="1" applyFill="1" applyBorder="1" applyAlignment="1">
      <alignment horizontal="left" vertical="center"/>
    </xf>
    <xf numFmtId="0" fontId="7" fillId="10" borderId="1" xfId="0" applyFont="1" applyFill="1" applyBorder="1" applyAlignment="1">
      <alignment horizontal="left" vertical="top" wrapText="1"/>
    </xf>
    <xf numFmtId="0" fontId="19" fillId="2" borderId="1" xfId="0" applyFont="1" applyFill="1" applyBorder="1" applyAlignment="1">
      <alignment horizontal="left" vertical="center"/>
    </xf>
    <xf numFmtId="0" fontId="7" fillId="6" borderId="1" xfId="0" applyFont="1" applyFill="1" applyBorder="1" applyAlignment="1">
      <alignment horizontal="left" vertical="top" wrapText="1"/>
    </xf>
    <xf numFmtId="0" fontId="19" fillId="11" borderId="1" xfId="0" applyFont="1" applyFill="1" applyBorder="1" applyAlignment="1">
      <alignment horizontal="left" vertical="center"/>
    </xf>
    <xf numFmtId="0" fontId="29" fillId="7" borderId="0" xfId="0" applyFont="1" applyFill="1" applyAlignment="1">
      <alignment horizontal="center" vertical="center"/>
    </xf>
    <xf numFmtId="0" fontId="19" fillId="4" borderId="1" xfId="0" applyFont="1" applyFill="1" applyBorder="1" applyAlignment="1">
      <alignment horizontal="left" vertical="center"/>
    </xf>
    <xf numFmtId="0" fontId="31" fillId="5" borderId="0" xfId="0" applyFont="1" applyFill="1" applyAlignment="1">
      <alignment horizontal="center" vertical="center"/>
    </xf>
    <xf numFmtId="0" fontId="30" fillId="2" borderId="0" xfId="0" applyFont="1" applyFill="1" applyAlignment="1">
      <alignment horizontal="center" vertical="center"/>
    </xf>
    <xf numFmtId="0" fontId="0" fillId="13" borderId="0" xfId="0" applyFill="1"/>
    <xf numFmtId="0" fontId="5" fillId="14" borderId="1" xfId="0" applyFont="1" applyFill="1" applyBorder="1" applyAlignment="1">
      <alignment horizontal="center" vertical="center"/>
    </xf>
    <xf numFmtId="164" fontId="40" fillId="6" borderId="4" xfId="0" applyNumberFormat="1" applyFont="1" applyFill="1" applyBorder="1" applyAlignment="1">
      <alignment horizontal="center" vertical="center"/>
    </xf>
    <xf numFmtId="164" fontId="40" fillId="6" borderId="3" xfId="0" applyNumberFormat="1" applyFont="1" applyFill="1" applyBorder="1" applyAlignment="1">
      <alignment horizontal="center" vertical="center"/>
    </xf>
    <xf numFmtId="0" fontId="17" fillId="6" borderId="4" xfId="0" applyFont="1" applyFill="1" applyBorder="1" applyAlignment="1">
      <alignment horizontal="left" vertical="center"/>
    </xf>
    <xf numFmtId="0" fontId="17" fillId="6" borderId="3" xfId="0" applyFont="1" applyFill="1" applyBorder="1" applyAlignment="1">
      <alignment horizontal="left" vertical="center"/>
    </xf>
    <xf numFmtId="0" fontId="19" fillId="4" borderId="4" xfId="0" applyFont="1" applyFill="1" applyBorder="1" applyAlignment="1">
      <alignment horizontal="left" vertical="center"/>
    </xf>
    <xf numFmtId="0" fontId="19" fillId="4" borderId="2" xfId="0" applyFont="1" applyFill="1" applyBorder="1" applyAlignment="1">
      <alignment horizontal="left" vertical="center"/>
    </xf>
    <xf numFmtId="0" fontId="19" fillId="4" borderId="3" xfId="0" applyFont="1" applyFill="1" applyBorder="1" applyAlignment="1">
      <alignment horizontal="left" vertical="center"/>
    </xf>
    <xf numFmtId="3" fontId="40" fillId="5" borderId="4" xfId="0" applyNumberFormat="1" applyFont="1" applyFill="1" applyBorder="1" applyAlignment="1">
      <alignment horizontal="center" vertical="center"/>
    </xf>
    <xf numFmtId="3" fontId="40" fillId="5" borderId="3" xfId="0" applyNumberFormat="1" applyFont="1" applyFill="1" applyBorder="1" applyAlignment="1">
      <alignment horizontal="center" vertical="center"/>
    </xf>
    <xf numFmtId="0" fontId="17" fillId="5" borderId="4" xfId="0" applyFont="1" applyFill="1" applyBorder="1" applyAlignment="1">
      <alignment horizontal="left" vertical="center"/>
    </xf>
    <xf numFmtId="0" fontId="17" fillId="5" borderId="3" xfId="0" applyFont="1" applyFill="1" applyBorder="1" applyAlignment="1">
      <alignment horizontal="left" vertical="center"/>
    </xf>
    <xf numFmtId="3" fontId="40" fillId="6" borderId="4" xfId="0" applyNumberFormat="1" applyFont="1" applyFill="1" applyBorder="1" applyAlignment="1">
      <alignment horizontal="center" vertical="center"/>
    </xf>
    <xf numFmtId="3" fontId="40" fillId="6" borderId="3" xfId="0" applyNumberFormat="1" applyFont="1" applyFill="1" applyBorder="1" applyAlignment="1">
      <alignment horizontal="center" vertical="center"/>
    </xf>
    <xf numFmtId="164" fontId="40" fillId="5" borderId="4" xfId="0" applyNumberFormat="1" applyFont="1" applyFill="1" applyBorder="1" applyAlignment="1">
      <alignment horizontal="center" vertical="center"/>
    </xf>
    <xf numFmtId="164" fontId="40" fillId="5" borderId="3" xfId="0" applyNumberFormat="1" applyFont="1" applyFill="1" applyBorder="1" applyAlignment="1">
      <alignment horizontal="center" vertical="center"/>
    </xf>
    <xf numFmtId="0" fontId="19" fillId="2" borderId="4" xfId="0" applyFont="1" applyFill="1" applyBorder="1" applyAlignment="1">
      <alignment horizontal="left" vertical="center"/>
    </xf>
    <xf numFmtId="0" fontId="19" fillId="2" borderId="2" xfId="0" applyFont="1" applyFill="1" applyBorder="1" applyAlignment="1">
      <alignment horizontal="left" vertical="center"/>
    </xf>
    <xf numFmtId="0" fontId="19" fillId="2" borderId="3"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D"/>
              <a:t>Gross Margin per Skenario (%)</a:t>
            </a:r>
          </a:p>
        </c:rich>
      </c:tx>
      <c:overlay val="1"/>
    </c:title>
    <c:autoTitleDeleted val="0"/>
    <c:plotArea>
      <c:layout/>
      <c:barChart>
        <c:barDir val="col"/>
        <c:grouping val="clustered"/>
        <c:varyColors val="1"/>
        <c:ser>
          <c:idx val="0"/>
          <c:order val="0"/>
          <c:tx>
            <c:strRef>
              <c:f>HPP_SCENARIO!$B$27</c:f>
              <c:strCache>
                <c:ptCount val="1"/>
                <c:pt idx="0">
                  <c:v>Optimistis</c:v>
                </c:pt>
              </c:strCache>
            </c:strRef>
          </c:tx>
          <c:spPr>
            <a:ln>
              <a:prstDash val="solid"/>
            </a:ln>
          </c:spPr>
          <c:invertIfNegative val="0"/>
          <c:cat>
            <c:strRef>
              <c:f>HPP_SCENARIO!$A$28:$A$29</c:f>
              <c:strCache>
                <c:ptCount val="2"/>
                <c:pt idx="0">
                  <c:v>Tier Kredit</c:v>
                </c:pt>
                <c:pt idx="1">
                  <c:v>Tier Pro</c:v>
                </c:pt>
              </c:strCache>
            </c:strRef>
          </c:cat>
          <c:val>
            <c:numRef>
              <c:f>HPP_SCENARIO!$B$28:$B$29</c:f>
              <c:numCache>
                <c:formatCode>0.0%</c:formatCode>
                <c:ptCount val="2"/>
                <c:pt idx="0">
                  <c:v>0.28000000000000003</c:v>
                </c:pt>
                <c:pt idx="1">
                  <c:v>0.16206896551724143</c:v>
                </c:pt>
              </c:numCache>
            </c:numRef>
          </c:val>
          <c:extLst>
            <c:ext xmlns:c16="http://schemas.microsoft.com/office/drawing/2014/chart" uri="{C3380CC4-5D6E-409C-BE32-E72D297353CC}">
              <c16:uniqueId val="{00000000-ED41-48F7-98C7-1BBEFFC3C135}"/>
            </c:ext>
          </c:extLst>
        </c:ser>
        <c:ser>
          <c:idx val="1"/>
          <c:order val="1"/>
          <c:tx>
            <c:strRef>
              <c:f>HPP_SCENARIO!$C$27</c:f>
              <c:strCache>
                <c:ptCount val="1"/>
                <c:pt idx="0">
                  <c:v>Moderat</c:v>
                </c:pt>
              </c:strCache>
            </c:strRef>
          </c:tx>
          <c:spPr>
            <a:ln>
              <a:prstDash val="solid"/>
            </a:ln>
          </c:spPr>
          <c:invertIfNegative val="0"/>
          <c:cat>
            <c:strRef>
              <c:f>HPP_SCENARIO!$A$28:$A$29</c:f>
              <c:strCache>
                <c:ptCount val="2"/>
                <c:pt idx="0">
                  <c:v>Tier Kredit</c:v>
                </c:pt>
                <c:pt idx="1">
                  <c:v>Tier Pro</c:v>
                </c:pt>
              </c:strCache>
            </c:strRef>
          </c:cat>
          <c:val>
            <c:numRef>
              <c:f>HPP_SCENARIO!$C$28:$C$29</c:f>
              <c:numCache>
                <c:formatCode>0.0%</c:formatCode>
                <c:ptCount val="2"/>
                <c:pt idx="0">
                  <c:v>-0.02</c:v>
                </c:pt>
                <c:pt idx="1">
                  <c:v>8.1379310344827552E-2</c:v>
                </c:pt>
              </c:numCache>
            </c:numRef>
          </c:val>
          <c:extLst>
            <c:ext xmlns:c16="http://schemas.microsoft.com/office/drawing/2014/chart" uri="{C3380CC4-5D6E-409C-BE32-E72D297353CC}">
              <c16:uniqueId val="{00000001-ED41-48F7-98C7-1BBEFFC3C135}"/>
            </c:ext>
          </c:extLst>
        </c:ser>
        <c:ser>
          <c:idx val="2"/>
          <c:order val="2"/>
          <c:tx>
            <c:strRef>
              <c:f>HPP_SCENARIO!$D$27</c:f>
              <c:strCache>
                <c:ptCount val="1"/>
                <c:pt idx="0">
                  <c:v>Konservatif</c:v>
                </c:pt>
              </c:strCache>
            </c:strRef>
          </c:tx>
          <c:spPr>
            <a:ln>
              <a:prstDash val="solid"/>
            </a:ln>
          </c:spPr>
          <c:invertIfNegative val="0"/>
          <c:cat>
            <c:strRef>
              <c:f>HPP_SCENARIO!$A$28:$A$29</c:f>
              <c:strCache>
                <c:ptCount val="2"/>
                <c:pt idx="0">
                  <c:v>Tier Kredit</c:v>
                </c:pt>
                <c:pt idx="1">
                  <c:v>Tier Pro</c:v>
                </c:pt>
              </c:strCache>
            </c:strRef>
          </c:cat>
          <c:val>
            <c:numRef>
              <c:f>HPP_SCENARIO!$D$28:$D$29</c:f>
              <c:numCache>
                <c:formatCode>0.0%</c:formatCode>
                <c:ptCount val="2"/>
                <c:pt idx="0">
                  <c:v>-0.56999999999999995</c:v>
                </c:pt>
                <c:pt idx="1">
                  <c:v>0.12551724137931033</c:v>
                </c:pt>
              </c:numCache>
            </c:numRef>
          </c:val>
          <c:extLst>
            <c:ext xmlns:c16="http://schemas.microsoft.com/office/drawing/2014/chart" uri="{C3380CC4-5D6E-409C-BE32-E72D297353CC}">
              <c16:uniqueId val="{00000002-ED41-48F7-98C7-1BBEFFC3C13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D"/>
                  <a:t>Tier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D"/>
                  <a:t>Gross Margin</a:t>
                </a:r>
              </a:p>
            </c:rich>
          </c:tx>
          <c:overlay val="1"/>
        </c:title>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D"/>
              <a:t>Tren Revenue &amp; Net Profit Bulanan</a:t>
            </a:r>
          </a:p>
        </c:rich>
      </c:tx>
      <c:overlay val="1"/>
    </c:title>
    <c:autoTitleDeleted val="0"/>
    <c:plotArea>
      <c:layout/>
      <c:lineChart>
        <c:grouping val="standard"/>
        <c:varyColors val="1"/>
        <c:ser>
          <c:idx val="0"/>
          <c:order val="0"/>
          <c:tx>
            <c:strRef>
              <c:f>PROYEKSI_12_BULAN!$E$4</c:f>
              <c:strCache>
                <c:ptCount val="1"/>
                <c:pt idx="0">
                  <c:v>Gross Revenue</c:v>
                </c:pt>
              </c:strCache>
            </c:strRef>
          </c:tx>
          <c:spPr>
            <a:ln>
              <a:prstDash val="solid"/>
            </a:ln>
          </c:spPr>
          <c:marker>
            <c:symbol val="none"/>
          </c:marker>
          <c:cat>
            <c:strRef>
              <c:f>PROYEKSI_12_BULAN!$A$5:$A$16</c:f>
              <c:strCache>
                <c:ptCount val="12"/>
                <c:pt idx="0">
                  <c:v>Nov 2026</c:v>
                </c:pt>
                <c:pt idx="1">
                  <c:v>Des 2026</c:v>
                </c:pt>
                <c:pt idx="2">
                  <c:v>Jan 2027</c:v>
                </c:pt>
                <c:pt idx="3">
                  <c:v>Feb 2027</c:v>
                </c:pt>
                <c:pt idx="4">
                  <c:v>Mar 2027</c:v>
                </c:pt>
                <c:pt idx="5">
                  <c:v>Apr 2027</c:v>
                </c:pt>
                <c:pt idx="6">
                  <c:v>Mei 2027</c:v>
                </c:pt>
                <c:pt idx="7">
                  <c:v>Jun 2027</c:v>
                </c:pt>
                <c:pt idx="8">
                  <c:v>Jul 2027</c:v>
                </c:pt>
                <c:pt idx="9">
                  <c:v>Ags 2027</c:v>
                </c:pt>
                <c:pt idx="10">
                  <c:v>Sep 2027</c:v>
                </c:pt>
                <c:pt idx="11">
                  <c:v>Okt 2027</c:v>
                </c:pt>
              </c:strCache>
            </c:strRef>
          </c:cat>
          <c:val>
            <c:numRef>
              <c:f>PROYEKSI_12_BULAN!$E$5:$E$16</c:f>
              <c:numCache>
                <c:formatCode>#,##0</c:formatCode>
                <c:ptCount val="12"/>
                <c:pt idx="0">
                  <c:v>1008000</c:v>
                </c:pt>
                <c:pt idx="1">
                  <c:v>1148000</c:v>
                </c:pt>
                <c:pt idx="2">
                  <c:v>1316000</c:v>
                </c:pt>
                <c:pt idx="3">
                  <c:v>1498000</c:v>
                </c:pt>
                <c:pt idx="4">
                  <c:v>1694000</c:v>
                </c:pt>
                <c:pt idx="5">
                  <c:v>1932000</c:v>
                </c:pt>
                <c:pt idx="6">
                  <c:v>2198000</c:v>
                </c:pt>
                <c:pt idx="7">
                  <c:v>2520000</c:v>
                </c:pt>
                <c:pt idx="8">
                  <c:v>2870000</c:v>
                </c:pt>
                <c:pt idx="9">
                  <c:v>3276000</c:v>
                </c:pt>
                <c:pt idx="10">
                  <c:v>3724000</c:v>
                </c:pt>
                <c:pt idx="11">
                  <c:v>4256000</c:v>
                </c:pt>
              </c:numCache>
            </c:numRef>
          </c:val>
          <c:smooth val="1"/>
          <c:extLst>
            <c:ext xmlns:c16="http://schemas.microsoft.com/office/drawing/2014/chart" uri="{C3380CC4-5D6E-409C-BE32-E72D297353CC}">
              <c16:uniqueId val="{00000000-37F1-4169-A16B-3068522F39C8}"/>
            </c:ext>
          </c:extLst>
        </c:ser>
        <c:ser>
          <c:idx val="1"/>
          <c:order val="1"/>
          <c:tx>
            <c:strRef>
              <c:f>PROYEKSI_12_BULAN!$G$4</c:f>
              <c:strCache>
                <c:ptCount val="1"/>
                <c:pt idx="0">
                  <c:v>Gross Profit</c:v>
                </c:pt>
              </c:strCache>
            </c:strRef>
          </c:tx>
          <c:spPr>
            <a:ln>
              <a:prstDash val="solid"/>
            </a:ln>
          </c:spPr>
          <c:marker>
            <c:symbol val="none"/>
          </c:marker>
          <c:cat>
            <c:strRef>
              <c:f>PROYEKSI_12_BULAN!$A$5:$A$16</c:f>
              <c:strCache>
                <c:ptCount val="12"/>
                <c:pt idx="0">
                  <c:v>Nov 2026</c:v>
                </c:pt>
                <c:pt idx="1">
                  <c:v>Des 2026</c:v>
                </c:pt>
                <c:pt idx="2">
                  <c:v>Jan 2027</c:v>
                </c:pt>
                <c:pt idx="3">
                  <c:v>Feb 2027</c:v>
                </c:pt>
                <c:pt idx="4">
                  <c:v>Mar 2027</c:v>
                </c:pt>
                <c:pt idx="5">
                  <c:v>Apr 2027</c:v>
                </c:pt>
                <c:pt idx="6">
                  <c:v>Mei 2027</c:v>
                </c:pt>
                <c:pt idx="7">
                  <c:v>Jun 2027</c:v>
                </c:pt>
                <c:pt idx="8">
                  <c:v>Jul 2027</c:v>
                </c:pt>
                <c:pt idx="9">
                  <c:v>Ags 2027</c:v>
                </c:pt>
                <c:pt idx="10">
                  <c:v>Sep 2027</c:v>
                </c:pt>
                <c:pt idx="11">
                  <c:v>Okt 2027</c:v>
                </c:pt>
              </c:strCache>
            </c:strRef>
          </c:cat>
          <c:val>
            <c:numRef>
              <c:f>PROYEKSI_12_BULAN!$G$5:$G$16</c:f>
              <c:numCache>
                <c:formatCode>#,##0</c:formatCode>
                <c:ptCount val="12"/>
                <c:pt idx="0">
                  <c:v>241920</c:v>
                </c:pt>
                <c:pt idx="1">
                  <c:v>275520</c:v>
                </c:pt>
                <c:pt idx="2">
                  <c:v>315840</c:v>
                </c:pt>
                <c:pt idx="3">
                  <c:v>359520</c:v>
                </c:pt>
                <c:pt idx="4">
                  <c:v>406560</c:v>
                </c:pt>
                <c:pt idx="5">
                  <c:v>463680</c:v>
                </c:pt>
                <c:pt idx="6">
                  <c:v>527520</c:v>
                </c:pt>
                <c:pt idx="7">
                  <c:v>604800</c:v>
                </c:pt>
                <c:pt idx="8">
                  <c:v>688800</c:v>
                </c:pt>
                <c:pt idx="9">
                  <c:v>786240</c:v>
                </c:pt>
                <c:pt idx="10">
                  <c:v>893760</c:v>
                </c:pt>
                <c:pt idx="11">
                  <c:v>1021440</c:v>
                </c:pt>
              </c:numCache>
            </c:numRef>
          </c:val>
          <c:smooth val="1"/>
          <c:extLst>
            <c:ext xmlns:c16="http://schemas.microsoft.com/office/drawing/2014/chart" uri="{C3380CC4-5D6E-409C-BE32-E72D297353CC}">
              <c16:uniqueId val="{00000001-37F1-4169-A16B-3068522F39C8}"/>
            </c:ext>
          </c:extLst>
        </c:ser>
        <c:ser>
          <c:idx val="2"/>
          <c:order val="2"/>
          <c:tx>
            <c:strRef>
              <c:f>PROYEKSI_12_BULAN!$I$4</c:f>
              <c:strCache>
                <c:ptCount val="1"/>
                <c:pt idx="0">
                  <c:v>Net Profit</c:v>
                </c:pt>
              </c:strCache>
            </c:strRef>
          </c:tx>
          <c:spPr>
            <a:ln>
              <a:prstDash val="solid"/>
            </a:ln>
          </c:spPr>
          <c:marker>
            <c:symbol val="none"/>
          </c:marker>
          <c:cat>
            <c:strRef>
              <c:f>PROYEKSI_12_BULAN!$A$5:$A$16</c:f>
              <c:strCache>
                <c:ptCount val="12"/>
                <c:pt idx="0">
                  <c:v>Nov 2026</c:v>
                </c:pt>
                <c:pt idx="1">
                  <c:v>Des 2026</c:v>
                </c:pt>
                <c:pt idx="2">
                  <c:v>Jan 2027</c:v>
                </c:pt>
                <c:pt idx="3">
                  <c:v>Feb 2027</c:v>
                </c:pt>
                <c:pt idx="4">
                  <c:v>Mar 2027</c:v>
                </c:pt>
                <c:pt idx="5">
                  <c:v>Apr 2027</c:v>
                </c:pt>
                <c:pt idx="6">
                  <c:v>Mei 2027</c:v>
                </c:pt>
                <c:pt idx="7">
                  <c:v>Jun 2027</c:v>
                </c:pt>
                <c:pt idx="8">
                  <c:v>Jul 2027</c:v>
                </c:pt>
                <c:pt idx="9">
                  <c:v>Ags 2027</c:v>
                </c:pt>
                <c:pt idx="10">
                  <c:v>Sep 2027</c:v>
                </c:pt>
                <c:pt idx="11">
                  <c:v>Okt 2027</c:v>
                </c:pt>
              </c:strCache>
            </c:strRef>
          </c:cat>
          <c:val>
            <c:numRef>
              <c:f>PROYEKSI_12_BULAN!$I$5:$I$16</c:f>
              <c:numCache>
                <c:formatCode>#,##0</c:formatCode>
                <c:ptCount val="12"/>
                <c:pt idx="0">
                  <c:v>-508080</c:v>
                </c:pt>
                <c:pt idx="1">
                  <c:v>-497280</c:v>
                </c:pt>
                <c:pt idx="2">
                  <c:v>-460160</c:v>
                </c:pt>
                <c:pt idx="3">
                  <c:v>-420080</c:v>
                </c:pt>
                <c:pt idx="4">
                  <c:v>-377140</c:v>
                </c:pt>
                <c:pt idx="5">
                  <c:v>-324720</c:v>
                </c:pt>
                <c:pt idx="6">
                  <c:v>-266280</c:v>
                </c:pt>
                <c:pt idx="7">
                  <c:v>-195100</c:v>
                </c:pt>
                <c:pt idx="8">
                  <c:v>-118100</c:v>
                </c:pt>
                <c:pt idx="9">
                  <c:v>-28660</c:v>
                </c:pt>
                <c:pt idx="10">
                  <c:v>69760</c:v>
                </c:pt>
                <c:pt idx="11">
                  <c:v>187040</c:v>
                </c:pt>
              </c:numCache>
            </c:numRef>
          </c:val>
          <c:smooth val="1"/>
          <c:extLst>
            <c:ext xmlns:c16="http://schemas.microsoft.com/office/drawing/2014/chart" uri="{C3380CC4-5D6E-409C-BE32-E72D297353CC}">
              <c16:uniqueId val="{00000002-37F1-4169-A16B-3068522F39C8}"/>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D"/>
                  <a:t>Bulan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D"/>
                  <a:t>Rupiah (Rp)</a:t>
                </a:r>
              </a:p>
            </c:rich>
          </c:tx>
          <c:overlay val="1"/>
        </c:title>
        <c:numFmt formatCode="#,##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D"/>
              <a:t>Revenue vs Gross Profit (12 Bulan)</a:t>
            </a:r>
          </a:p>
        </c:rich>
      </c:tx>
      <c:overlay val="1"/>
    </c:title>
    <c:autoTitleDeleted val="0"/>
    <c:plotArea>
      <c:layout/>
      <c:barChart>
        <c:barDir val="col"/>
        <c:grouping val="clustered"/>
        <c:varyColors val="1"/>
        <c:ser>
          <c:idx val="0"/>
          <c:order val="0"/>
          <c:tx>
            <c:strRef>
              <c:f>PROYEKSI_12_BULAN!$E$4</c:f>
              <c:strCache>
                <c:ptCount val="1"/>
                <c:pt idx="0">
                  <c:v>Gross Revenue</c:v>
                </c:pt>
              </c:strCache>
            </c:strRef>
          </c:tx>
          <c:spPr>
            <a:ln>
              <a:prstDash val="solid"/>
            </a:ln>
          </c:spPr>
          <c:invertIfNegative val="1"/>
          <c:cat>
            <c:strRef>
              <c:f>PROYEKSI_12_BULAN!$A$5:$A$16</c:f>
              <c:strCache>
                <c:ptCount val="12"/>
                <c:pt idx="0">
                  <c:v>Nov 2026</c:v>
                </c:pt>
                <c:pt idx="1">
                  <c:v>Des 2026</c:v>
                </c:pt>
                <c:pt idx="2">
                  <c:v>Jan 2027</c:v>
                </c:pt>
                <c:pt idx="3">
                  <c:v>Feb 2027</c:v>
                </c:pt>
                <c:pt idx="4">
                  <c:v>Mar 2027</c:v>
                </c:pt>
                <c:pt idx="5">
                  <c:v>Apr 2027</c:v>
                </c:pt>
                <c:pt idx="6">
                  <c:v>Mei 2027</c:v>
                </c:pt>
                <c:pt idx="7">
                  <c:v>Jun 2027</c:v>
                </c:pt>
                <c:pt idx="8">
                  <c:v>Jul 2027</c:v>
                </c:pt>
                <c:pt idx="9">
                  <c:v>Ags 2027</c:v>
                </c:pt>
                <c:pt idx="10">
                  <c:v>Sep 2027</c:v>
                </c:pt>
                <c:pt idx="11">
                  <c:v>Okt 2027</c:v>
                </c:pt>
              </c:strCache>
            </c:strRef>
          </c:cat>
          <c:val>
            <c:numRef>
              <c:f>PROYEKSI_12_BULAN!$E$5:$E$16</c:f>
              <c:numCache>
                <c:formatCode>#,##0</c:formatCode>
                <c:ptCount val="12"/>
                <c:pt idx="0">
                  <c:v>1008000</c:v>
                </c:pt>
                <c:pt idx="1">
                  <c:v>1148000</c:v>
                </c:pt>
                <c:pt idx="2">
                  <c:v>1316000</c:v>
                </c:pt>
                <c:pt idx="3">
                  <c:v>1498000</c:v>
                </c:pt>
                <c:pt idx="4">
                  <c:v>1694000</c:v>
                </c:pt>
                <c:pt idx="5">
                  <c:v>1932000</c:v>
                </c:pt>
                <c:pt idx="6">
                  <c:v>2198000</c:v>
                </c:pt>
                <c:pt idx="7">
                  <c:v>2520000</c:v>
                </c:pt>
                <c:pt idx="8">
                  <c:v>2870000</c:v>
                </c:pt>
                <c:pt idx="9">
                  <c:v>3276000</c:v>
                </c:pt>
                <c:pt idx="10">
                  <c:v>3724000</c:v>
                </c:pt>
                <c:pt idx="11">
                  <c:v>4256000</c:v>
                </c:pt>
              </c:numCache>
            </c:numRef>
          </c:val>
          <c:extLst>
            <c:ext xmlns:c16="http://schemas.microsoft.com/office/drawing/2014/chart" uri="{C3380CC4-5D6E-409C-BE32-E72D297353CC}">
              <c16:uniqueId val="{00000000-BF0D-4904-BB2E-95E064CC74FE}"/>
            </c:ext>
          </c:extLst>
        </c:ser>
        <c:ser>
          <c:idx val="1"/>
          <c:order val="1"/>
          <c:tx>
            <c:strRef>
              <c:f>PROYEKSI_12_BULAN!$G$4</c:f>
              <c:strCache>
                <c:ptCount val="1"/>
                <c:pt idx="0">
                  <c:v>Gross Profit</c:v>
                </c:pt>
              </c:strCache>
            </c:strRef>
          </c:tx>
          <c:spPr>
            <a:ln>
              <a:prstDash val="solid"/>
            </a:ln>
          </c:spPr>
          <c:invertIfNegative val="1"/>
          <c:cat>
            <c:strRef>
              <c:f>PROYEKSI_12_BULAN!$A$5:$A$16</c:f>
              <c:strCache>
                <c:ptCount val="12"/>
                <c:pt idx="0">
                  <c:v>Nov 2026</c:v>
                </c:pt>
                <c:pt idx="1">
                  <c:v>Des 2026</c:v>
                </c:pt>
                <c:pt idx="2">
                  <c:v>Jan 2027</c:v>
                </c:pt>
                <c:pt idx="3">
                  <c:v>Feb 2027</c:v>
                </c:pt>
                <c:pt idx="4">
                  <c:v>Mar 2027</c:v>
                </c:pt>
                <c:pt idx="5">
                  <c:v>Apr 2027</c:v>
                </c:pt>
                <c:pt idx="6">
                  <c:v>Mei 2027</c:v>
                </c:pt>
                <c:pt idx="7">
                  <c:v>Jun 2027</c:v>
                </c:pt>
                <c:pt idx="8">
                  <c:v>Jul 2027</c:v>
                </c:pt>
                <c:pt idx="9">
                  <c:v>Ags 2027</c:v>
                </c:pt>
                <c:pt idx="10">
                  <c:v>Sep 2027</c:v>
                </c:pt>
                <c:pt idx="11">
                  <c:v>Okt 2027</c:v>
                </c:pt>
              </c:strCache>
            </c:strRef>
          </c:cat>
          <c:val>
            <c:numRef>
              <c:f>PROYEKSI_12_BULAN!$G$5:$G$16</c:f>
              <c:numCache>
                <c:formatCode>#,##0</c:formatCode>
                <c:ptCount val="12"/>
                <c:pt idx="0">
                  <c:v>241920</c:v>
                </c:pt>
                <c:pt idx="1">
                  <c:v>275520</c:v>
                </c:pt>
                <c:pt idx="2">
                  <c:v>315840</c:v>
                </c:pt>
                <c:pt idx="3">
                  <c:v>359520</c:v>
                </c:pt>
                <c:pt idx="4">
                  <c:v>406560</c:v>
                </c:pt>
                <c:pt idx="5">
                  <c:v>463680</c:v>
                </c:pt>
                <c:pt idx="6">
                  <c:v>527520</c:v>
                </c:pt>
                <c:pt idx="7">
                  <c:v>604800</c:v>
                </c:pt>
                <c:pt idx="8">
                  <c:v>688800</c:v>
                </c:pt>
                <c:pt idx="9">
                  <c:v>786240</c:v>
                </c:pt>
                <c:pt idx="10">
                  <c:v>893760</c:v>
                </c:pt>
                <c:pt idx="11">
                  <c:v>1021440</c:v>
                </c:pt>
              </c:numCache>
            </c:numRef>
          </c:val>
          <c:extLst>
            <c:ext xmlns:c16="http://schemas.microsoft.com/office/drawing/2014/chart" uri="{C3380CC4-5D6E-409C-BE32-E72D297353CC}">
              <c16:uniqueId val="{00000001-BF0D-4904-BB2E-95E064CC74F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0"/>
        <c:majorTickMark val="none"/>
        <c:minorTickMark val="none"/>
        <c:tickLblPos val="nextTo"/>
        <c:crossAx val="10"/>
        <c:crosses val="autoZero"/>
        <c:crossBetween val="between"/>
      </c:valAx>
    </c:plotArea>
    <c:legend>
      <c:legendPos val="r"/>
      <c:layout>
        <c:manualLayout>
          <c:xMode val="edge"/>
          <c:yMode val="edge"/>
          <c:x val="1.2935416666666673E-2"/>
          <c:y val="0.34688587962962963"/>
          <c:w val="0.11393958333333333"/>
          <c:h val="0.10632083333333334"/>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0</xdr:colOff>
      <xdr:row>30</xdr:row>
      <xdr:rowOff>0</xdr:rowOff>
    </xdr:from>
    <xdr:ext cx="648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18</xdr:row>
      <xdr:rowOff>0</xdr:rowOff>
    </xdr:from>
    <xdr:ext cx="9360000" cy="468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20</xdr:row>
      <xdr:rowOff>0</xdr:rowOff>
    </xdr:from>
    <xdr:ext cx="8640000" cy="43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showGridLines="0" tabSelected="1" topLeftCell="A4" workbookViewId="0"/>
  </sheetViews>
  <sheetFormatPr defaultRowHeight="15" x14ac:dyDescent="0.25"/>
  <cols>
    <col min="1" max="1" width="3" customWidth="1"/>
    <col min="2" max="8" width="16" customWidth="1"/>
    <col min="9" max="9" width="3" customWidth="1"/>
  </cols>
  <sheetData>
    <row r="1" spans="1:9" ht="18" customHeight="1" x14ac:dyDescent="0.25">
      <c r="A1" s="1"/>
      <c r="B1" s="1"/>
      <c r="C1" s="1"/>
      <c r="D1" s="1"/>
      <c r="E1" s="1"/>
      <c r="F1" s="1"/>
      <c r="G1" s="1"/>
      <c r="H1" s="1"/>
      <c r="I1" s="1"/>
    </row>
    <row r="2" spans="1:9" ht="18" customHeight="1" x14ac:dyDescent="0.25">
      <c r="A2" s="1"/>
      <c r="B2" s="1"/>
      <c r="C2" s="1"/>
      <c r="D2" s="1"/>
      <c r="E2" s="1"/>
      <c r="F2" s="1"/>
      <c r="G2" s="1"/>
      <c r="H2" s="1"/>
      <c r="I2" s="1"/>
    </row>
    <row r="3" spans="1:9" ht="18" customHeight="1" x14ac:dyDescent="0.25">
      <c r="A3" s="1"/>
      <c r="B3" s="1"/>
      <c r="C3" s="1"/>
      <c r="D3" s="1"/>
      <c r="E3" s="1"/>
      <c r="F3" s="1"/>
      <c r="G3" s="1"/>
      <c r="H3" s="1"/>
      <c r="I3" s="1"/>
    </row>
    <row r="4" spans="1:9" ht="27.95" customHeight="1" x14ac:dyDescent="0.25">
      <c r="A4" s="1"/>
      <c r="B4" s="1"/>
      <c r="C4" s="1"/>
      <c r="D4" s="1"/>
      <c r="E4" s="1"/>
      <c r="F4" s="1"/>
      <c r="G4" s="1"/>
      <c r="H4" s="1"/>
      <c r="I4" s="1"/>
    </row>
    <row r="5" spans="1:9" ht="27.95" customHeight="1" x14ac:dyDescent="0.25">
      <c r="A5" s="1"/>
      <c r="B5" s="89" t="s">
        <v>0</v>
      </c>
      <c r="C5" s="87"/>
      <c r="D5" s="87"/>
      <c r="E5" s="87"/>
      <c r="F5" s="87"/>
      <c r="G5" s="87"/>
      <c r="H5" s="87"/>
      <c r="I5" s="1"/>
    </row>
    <row r="6" spans="1:9" ht="27.95" customHeight="1" x14ac:dyDescent="0.25">
      <c r="A6" s="1"/>
      <c r="B6" s="86" t="s">
        <v>1</v>
      </c>
      <c r="C6" s="87"/>
      <c r="D6" s="87"/>
      <c r="E6" s="87"/>
      <c r="F6" s="87"/>
      <c r="G6" s="87"/>
      <c r="H6" s="87"/>
      <c r="I6" s="1"/>
    </row>
    <row r="7" spans="1:9" ht="45.95" customHeight="1" x14ac:dyDescent="0.25">
      <c r="A7" s="1"/>
      <c r="B7" s="1"/>
      <c r="C7" s="1"/>
      <c r="D7" s="1"/>
      <c r="E7" s="1"/>
      <c r="F7" s="1"/>
      <c r="G7" s="1"/>
      <c r="H7" s="1"/>
      <c r="I7" s="1"/>
    </row>
    <row r="8" spans="1:9" ht="33.950000000000003" customHeight="1" x14ac:dyDescent="0.25">
      <c r="A8" s="1"/>
      <c r="B8" s="95" t="s">
        <v>2</v>
      </c>
      <c r="C8" s="87"/>
      <c r="D8" s="87"/>
      <c r="E8" s="87"/>
      <c r="F8" s="87"/>
      <c r="G8" s="87"/>
      <c r="H8" s="87"/>
      <c r="I8" s="1"/>
    </row>
    <row r="9" spans="1:9" ht="27.95" customHeight="1" x14ac:dyDescent="0.25">
      <c r="A9" s="1"/>
      <c r="B9" s="1"/>
      <c r="C9" s="1"/>
      <c r="D9" s="1"/>
      <c r="E9" s="1"/>
      <c r="F9" s="1"/>
      <c r="G9" s="1"/>
      <c r="H9" s="1"/>
      <c r="I9" s="1"/>
    </row>
    <row r="10" spans="1:9" ht="27.95" customHeight="1" x14ac:dyDescent="0.25">
      <c r="A10" s="1"/>
      <c r="B10" s="97" t="s">
        <v>3</v>
      </c>
      <c r="C10" s="87"/>
      <c r="D10" s="87"/>
      <c r="E10" s="87"/>
      <c r="F10" s="87"/>
      <c r="G10" s="87"/>
      <c r="H10" s="87"/>
      <c r="I10" s="1"/>
    </row>
    <row r="11" spans="1:9" ht="6" customHeight="1" x14ac:dyDescent="0.25">
      <c r="A11" s="2"/>
      <c r="B11" s="2"/>
      <c r="C11" s="2"/>
      <c r="D11" s="2"/>
      <c r="E11" s="2"/>
      <c r="F11" s="2"/>
      <c r="G11" s="2"/>
      <c r="H11" s="2"/>
      <c r="I11" s="2"/>
    </row>
    <row r="12" spans="1:9" ht="12" customHeight="1" x14ac:dyDescent="0.25"/>
    <row r="13" spans="1:9" ht="20.100000000000001" customHeight="1" x14ac:dyDescent="0.25">
      <c r="B13" s="96" t="s">
        <v>4</v>
      </c>
      <c r="C13" s="84"/>
      <c r="D13" s="84"/>
      <c r="E13" s="84"/>
      <c r="F13" s="84"/>
      <c r="G13" s="84"/>
      <c r="H13" s="82"/>
    </row>
    <row r="14" spans="1:9" ht="21.95" customHeight="1" x14ac:dyDescent="0.25">
      <c r="B14" s="81" t="s">
        <v>5</v>
      </c>
      <c r="C14" s="82"/>
      <c r="D14" s="83" t="s">
        <v>6</v>
      </c>
      <c r="E14" s="84"/>
      <c r="F14" s="84"/>
      <c r="G14" s="84"/>
      <c r="H14" s="82"/>
    </row>
    <row r="15" spans="1:9" ht="21.95" customHeight="1" x14ac:dyDescent="0.25">
      <c r="B15" s="91" t="s">
        <v>7</v>
      </c>
      <c r="C15" s="82"/>
      <c r="D15" s="85" t="s">
        <v>8</v>
      </c>
      <c r="E15" s="84"/>
      <c r="F15" s="84"/>
      <c r="G15" s="84"/>
      <c r="H15" s="82"/>
    </row>
    <row r="16" spans="1:9" ht="21.95" customHeight="1" x14ac:dyDescent="0.25">
      <c r="B16" s="81" t="s">
        <v>9</v>
      </c>
      <c r="C16" s="82"/>
      <c r="D16" s="83" t="s">
        <v>10</v>
      </c>
      <c r="E16" s="84"/>
      <c r="F16" s="84"/>
      <c r="G16" s="84"/>
      <c r="H16" s="82"/>
    </row>
    <row r="17" spans="2:8" ht="21.95" customHeight="1" x14ac:dyDescent="0.25">
      <c r="B17" s="91" t="s">
        <v>11</v>
      </c>
      <c r="C17" s="82"/>
      <c r="D17" s="85" t="s">
        <v>12</v>
      </c>
      <c r="E17" s="84"/>
      <c r="F17" s="84"/>
      <c r="G17" s="84"/>
      <c r="H17" s="82"/>
    </row>
    <row r="18" spans="2:8" ht="21.95" customHeight="1" x14ac:dyDescent="0.25">
      <c r="B18" s="81" t="s">
        <v>13</v>
      </c>
      <c r="C18" s="82"/>
      <c r="D18" s="83" t="s">
        <v>14</v>
      </c>
      <c r="E18" s="84"/>
      <c r="F18" s="84"/>
      <c r="G18" s="84"/>
      <c r="H18" s="82"/>
    </row>
    <row r="19" spans="2:8" ht="21.95" customHeight="1" x14ac:dyDescent="0.25">
      <c r="B19" s="91" t="s">
        <v>15</v>
      </c>
      <c r="C19" s="82"/>
      <c r="D19" s="85" t="s">
        <v>16</v>
      </c>
      <c r="E19" s="84"/>
      <c r="F19" s="84"/>
      <c r="G19" s="84"/>
      <c r="H19" s="82"/>
    </row>
    <row r="20" spans="2:8" ht="21.95" customHeight="1" x14ac:dyDescent="0.25">
      <c r="B20" s="81" t="s">
        <v>17</v>
      </c>
      <c r="C20" s="82"/>
      <c r="D20" s="83" t="s">
        <v>18</v>
      </c>
      <c r="E20" s="84"/>
      <c r="F20" s="84"/>
      <c r="G20" s="84"/>
      <c r="H20" s="82"/>
    </row>
    <row r="21" spans="2:8" ht="21.95" customHeight="1" x14ac:dyDescent="0.25">
      <c r="B21" s="91" t="s">
        <v>19</v>
      </c>
      <c r="C21" s="82"/>
      <c r="D21" s="85" t="s">
        <v>20</v>
      </c>
      <c r="E21" s="84"/>
      <c r="F21" s="84"/>
      <c r="G21" s="84"/>
      <c r="H21" s="82"/>
    </row>
    <row r="22" spans="2:8" ht="21.95" customHeight="1" x14ac:dyDescent="0.25">
      <c r="B22" s="81" t="s">
        <v>21</v>
      </c>
      <c r="C22" s="82"/>
      <c r="D22" s="83" t="s">
        <v>22</v>
      </c>
      <c r="E22" s="84"/>
      <c r="F22" s="84"/>
      <c r="G22" s="84"/>
      <c r="H22" s="82"/>
    </row>
    <row r="23" spans="2:8" ht="21.95" customHeight="1" x14ac:dyDescent="0.25">
      <c r="B23" s="91" t="s">
        <v>23</v>
      </c>
      <c r="C23" s="82"/>
      <c r="D23" s="85" t="s">
        <v>24</v>
      </c>
      <c r="E23" s="84"/>
      <c r="F23" s="84"/>
      <c r="G23" s="84"/>
      <c r="H23" s="82"/>
    </row>
    <row r="24" spans="2:8" ht="21.95" customHeight="1" x14ac:dyDescent="0.25"/>
    <row r="25" spans="2:8" ht="21.95" customHeight="1" x14ac:dyDescent="0.25"/>
    <row r="26" spans="2:8" ht="12" customHeight="1" x14ac:dyDescent="0.25"/>
    <row r="27" spans="2:8" ht="20.100000000000001" customHeight="1" x14ac:dyDescent="0.25">
      <c r="B27" s="92" t="s">
        <v>25</v>
      </c>
      <c r="C27" s="84"/>
      <c r="D27" s="84"/>
      <c r="E27" s="84"/>
      <c r="F27" s="84"/>
      <c r="G27" s="84"/>
      <c r="H27" s="82"/>
    </row>
    <row r="28" spans="2:8" ht="26.1" customHeight="1" x14ac:dyDescent="0.25">
      <c r="B28" s="93" t="s">
        <v>26</v>
      </c>
      <c r="C28" s="82"/>
      <c r="D28" s="94" t="s">
        <v>27</v>
      </c>
      <c r="E28" s="84"/>
      <c r="F28" s="84"/>
      <c r="G28" s="84"/>
      <c r="H28" s="82"/>
    </row>
    <row r="29" spans="2:8" ht="26.1" customHeight="1" x14ac:dyDescent="0.25">
      <c r="B29" s="88" t="s">
        <v>28</v>
      </c>
      <c r="C29" s="82"/>
      <c r="D29" s="85" t="s">
        <v>29</v>
      </c>
      <c r="E29" s="84"/>
      <c r="F29" s="84"/>
      <c r="G29" s="84"/>
      <c r="H29" s="82"/>
    </row>
    <row r="30" spans="2:8" ht="26.1" customHeight="1" x14ac:dyDescent="0.25">
      <c r="B30" s="93" t="s">
        <v>30</v>
      </c>
      <c r="C30" s="82"/>
      <c r="D30" s="94" t="s">
        <v>31</v>
      </c>
      <c r="E30" s="84"/>
      <c r="F30" s="84"/>
      <c r="G30" s="84"/>
      <c r="H30" s="82"/>
    </row>
    <row r="31" spans="2:8" ht="26.1" customHeight="1" x14ac:dyDescent="0.25">
      <c r="B31" s="88" t="s">
        <v>32</v>
      </c>
      <c r="C31" s="82"/>
      <c r="D31" s="85" t="s">
        <v>33</v>
      </c>
      <c r="E31" s="84"/>
      <c r="F31" s="84"/>
      <c r="G31" s="84"/>
      <c r="H31" s="82"/>
    </row>
    <row r="32" spans="2:8" ht="21.95" customHeight="1" x14ac:dyDescent="0.25"/>
    <row r="33" spans="1:9" ht="21.95" customHeight="1" x14ac:dyDescent="0.25"/>
    <row r="34" spans="1:9" ht="12" customHeight="1" x14ac:dyDescent="0.25"/>
    <row r="35" spans="1:9" ht="6" customHeight="1" x14ac:dyDescent="0.25">
      <c r="A35" s="1"/>
      <c r="B35" s="1"/>
      <c r="C35" s="1"/>
      <c r="D35" s="1"/>
      <c r="E35" s="1"/>
      <c r="F35" s="1"/>
      <c r="G35" s="1"/>
      <c r="H35" s="1"/>
      <c r="I35" s="1"/>
    </row>
    <row r="36" spans="1:9" ht="21.95" customHeight="1" x14ac:dyDescent="0.25">
      <c r="B36" s="90" t="s">
        <v>34</v>
      </c>
      <c r="C36" s="87"/>
      <c r="D36" s="87"/>
      <c r="E36" s="87"/>
      <c r="F36" s="87"/>
      <c r="G36" s="87"/>
      <c r="H36" s="87"/>
    </row>
    <row r="37" spans="1:9" ht="21.95" customHeight="1" x14ac:dyDescent="0.25"/>
    <row r="38" spans="1:9" ht="21.95" customHeight="1" x14ac:dyDescent="0.25"/>
    <row r="39" spans="1:9" ht="21.95" customHeight="1" x14ac:dyDescent="0.25"/>
    <row r="40" spans="1:9" ht="21.95" customHeight="1" x14ac:dyDescent="0.25"/>
    <row r="41" spans="1:9" ht="21.95" customHeight="1" x14ac:dyDescent="0.25"/>
    <row r="42" spans="1:9" ht="21.95" customHeight="1" x14ac:dyDescent="0.25"/>
    <row r="43" spans="1:9" ht="21.95" customHeight="1" x14ac:dyDescent="0.25"/>
    <row r="44" spans="1:9" ht="21.95" customHeight="1" x14ac:dyDescent="0.25"/>
    <row r="45" spans="1:9" ht="21.95" customHeight="1" x14ac:dyDescent="0.25"/>
    <row r="46" spans="1:9" ht="21.95" customHeight="1" x14ac:dyDescent="0.25"/>
    <row r="47" spans="1:9" ht="21.95" customHeight="1" x14ac:dyDescent="0.25"/>
    <row r="48" spans="1:9" ht="21.95" customHeight="1" x14ac:dyDescent="0.25"/>
    <row r="49" ht="21.95" customHeight="1" x14ac:dyDescent="0.25"/>
  </sheetData>
  <mergeCells count="35">
    <mergeCell ref="B36:H36"/>
    <mergeCell ref="B21:C21"/>
    <mergeCell ref="D21:H21"/>
    <mergeCell ref="B23:C23"/>
    <mergeCell ref="B14:C14"/>
    <mergeCell ref="B17:C17"/>
    <mergeCell ref="D17:H17"/>
    <mergeCell ref="B29:C29"/>
    <mergeCell ref="D16:H16"/>
    <mergeCell ref="B27:H27"/>
    <mergeCell ref="B19:C19"/>
    <mergeCell ref="B28:C28"/>
    <mergeCell ref="D28:H28"/>
    <mergeCell ref="D18:H18"/>
    <mergeCell ref="B30:C30"/>
    <mergeCell ref="D30:H30"/>
    <mergeCell ref="B31:C31"/>
    <mergeCell ref="D31:H31"/>
    <mergeCell ref="B18:C18"/>
    <mergeCell ref="D22:H22"/>
    <mergeCell ref="B5:H5"/>
    <mergeCell ref="B8:H8"/>
    <mergeCell ref="B15:C15"/>
    <mergeCell ref="D15:H15"/>
    <mergeCell ref="B13:H13"/>
    <mergeCell ref="B20:C20"/>
    <mergeCell ref="D29:H29"/>
    <mergeCell ref="D23:H23"/>
    <mergeCell ref="B10:H10"/>
    <mergeCell ref="D14:H14"/>
    <mergeCell ref="B16:C16"/>
    <mergeCell ref="D20:H20"/>
    <mergeCell ref="D19:H19"/>
    <mergeCell ref="B6:H6"/>
    <mergeCell ref="B22:C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8"/>
  <sheetViews>
    <sheetView showGridLines="0" topLeftCell="A34" workbookViewId="0">
      <selection sqref="A1:E1"/>
    </sheetView>
  </sheetViews>
  <sheetFormatPr defaultRowHeight="15" x14ac:dyDescent="0.25"/>
  <cols>
    <col min="1" max="1" width="3" customWidth="1"/>
    <col min="2" max="2" width="22" customWidth="1"/>
    <col min="3" max="4" width="10" customWidth="1"/>
    <col min="5" max="5" width="42" customWidth="1"/>
  </cols>
  <sheetData>
    <row r="1" spans="1:5" ht="36" customHeight="1" x14ac:dyDescent="0.25">
      <c r="A1" s="100" t="s">
        <v>35</v>
      </c>
      <c r="B1" s="84"/>
      <c r="C1" s="84"/>
      <c r="D1" s="84"/>
      <c r="E1" s="82"/>
    </row>
    <row r="2" spans="1:5" ht="18" customHeight="1" x14ac:dyDescent="0.25">
      <c r="A2" s="99" t="s">
        <v>36</v>
      </c>
      <c r="B2" s="87"/>
      <c r="C2" s="87"/>
      <c r="D2" s="87"/>
      <c r="E2" s="87"/>
    </row>
    <row r="3" spans="1:5" ht="6" customHeight="1" x14ac:dyDescent="0.25"/>
    <row r="4" spans="1:5" ht="21.95" customHeight="1" x14ac:dyDescent="0.25">
      <c r="A4" s="3" t="s">
        <v>37</v>
      </c>
      <c r="B4" s="3" t="s">
        <v>38</v>
      </c>
      <c r="C4" s="3" t="s">
        <v>39</v>
      </c>
      <c r="D4" s="3" t="s">
        <v>40</v>
      </c>
      <c r="E4" s="3" t="s">
        <v>41</v>
      </c>
    </row>
    <row r="5" spans="1:5" ht="6" customHeight="1" x14ac:dyDescent="0.25"/>
    <row r="6" spans="1:5" ht="20.100000000000001" customHeight="1" x14ac:dyDescent="0.25">
      <c r="A6" s="92" t="s">
        <v>42</v>
      </c>
      <c r="B6" s="84"/>
      <c r="C6" s="84"/>
      <c r="D6" s="84"/>
      <c r="E6" s="82"/>
    </row>
    <row r="7" spans="1:5" ht="20.100000000000001" customHeight="1" x14ac:dyDescent="0.25">
      <c r="A7" s="4">
        <v>1</v>
      </c>
      <c r="B7" s="5" t="s">
        <v>43</v>
      </c>
      <c r="C7" s="6">
        <v>80</v>
      </c>
      <c r="D7" s="7" t="s">
        <v>44</v>
      </c>
      <c r="E7" s="8" t="s">
        <v>45</v>
      </c>
    </row>
    <row r="8" spans="1:5" ht="20.100000000000001" customHeight="1" x14ac:dyDescent="0.25">
      <c r="A8" s="9">
        <v>2</v>
      </c>
      <c r="B8" s="10" t="s">
        <v>46</v>
      </c>
      <c r="C8" s="11">
        <v>200</v>
      </c>
      <c r="D8" s="12" t="s">
        <v>44</v>
      </c>
      <c r="E8" s="13" t="s">
        <v>47</v>
      </c>
    </row>
    <row r="9" spans="1:5" ht="20.100000000000001" customHeight="1" x14ac:dyDescent="0.25">
      <c r="A9" s="4">
        <v>3</v>
      </c>
      <c r="B9" s="5" t="s">
        <v>48</v>
      </c>
      <c r="C9" s="6">
        <v>0</v>
      </c>
      <c r="D9" s="7" t="s">
        <v>44</v>
      </c>
      <c r="E9" s="8" t="s">
        <v>49</v>
      </c>
    </row>
    <row r="10" spans="1:5" ht="20.100000000000001" customHeight="1" x14ac:dyDescent="0.25">
      <c r="A10" s="9">
        <v>4</v>
      </c>
      <c r="B10" s="10" t="s">
        <v>50</v>
      </c>
      <c r="C10" s="11">
        <v>2</v>
      </c>
      <c r="D10" s="12" t="s">
        <v>44</v>
      </c>
      <c r="E10" s="13" t="s">
        <v>51</v>
      </c>
    </row>
    <row r="11" spans="1:5" ht="20.100000000000001" customHeight="1" x14ac:dyDescent="0.25">
      <c r="A11" s="4">
        <v>5</v>
      </c>
      <c r="B11" s="5" t="s">
        <v>52</v>
      </c>
      <c r="C11" s="6">
        <v>5</v>
      </c>
      <c r="D11" s="7" t="s">
        <v>44</v>
      </c>
      <c r="E11" s="8" t="s">
        <v>53</v>
      </c>
    </row>
    <row r="12" spans="1:5" ht="20.100000000000001" customHeight="1" x14ac:dyDescent="0.25">
      <c r="A12" s="9">
        <v>6</v>
      </c>
      <c r="B12" s="10" t="s">
        <v>54</v>
      </c>
      <c r="C12" s="11">
        <v>15</v>
      </c>
      <c r="D12" s="12" t="s">
        <v>44</v>
      </c>
      <c r="E12" s="13" t="s">
        <v>55</v>
      </c>
    </row>
    <row r="13" spans="1:5" ht="20.100000000000001" customHeight="1" x14ac:dyDescent="0.25">
      <c r="A13" s="4">
        <v>7</v>
      </c>
      <c r="B13" s="5" t="s">
        <v>56</v>
      </c>
      <c r="C13" s="14">
        <v>2.9000000000000001E-2</v>
      </c>
      <c r="D13" s="7" t="s">
        <v>57</v>
      </c>
      <c r="E13" s="8" t="s">
        <v>58</v>
      </c>
    </row>
    <row r="14" spans="1:5" ht="6" customHeight="1" x14ac:dyDescent="0.25"/>
    <row r="15" spans="1:5" ht="20.100000000000001" customHeight="1" x14ac:dyDescent="0.25">
      <c r="A15" s="92" t="s">
        <v>59</v>
      </c>
      <c r="B15" s="84"/>
      <c r="C15" s="84"/>
      <c r="D15" s="84"/>
      <c r="E15" s="82"/>
    </row>
    <row r="16" spans="1:5" ht="20.100000000000001" customHeight="1" x14ac:dyDescent="0.25">
      <c r="A16" s="9">
        <v>8</v>
      </c>
      <c r="B16" s="10" t="s">
        <v>60</v>
      </c>
      <c r="C16" s="15">
        <v>150000</v>
      </c>
      <c r="D16" s="12" t="s">
        <v>61</v>
      </c>
      <c r="E16" s="13" t="s">
        <v>62</v>
      </c>
    </row>
    <row r="17" spans="1:5" ht="20.100000000000001" customHeight="1" x14ac:dyDescent="0.25">
      <c r="A17" s="4">
        <v>9</v>
      </c>
      <c r="B17" s="5" t="s">
        <v>63</v>
      </c>
      <c r="C17" s="16">
        <v>375000</v>
      </c>
      <c r="D17" s="7" t="s">
        <v>61</v>
      </c>
      <c r="E17" s="8" t="s">
        <v>64</v>
      </c>
    </row>
    <row r="18" spans="1:5" ht="20.100000000000001" customHeight="1" x14ac:dyDescent="0.25">
      <c r="A18" s="9">
        <v>10</v>
      </c>
      <c r="B18" s="10" t="s">
        <v>65</v>
      </c>
      <c r="C18" s="15">
        <v>150000</v>
      </c>
      <c r="D18" s="12" t="s">
        <v>61</v>
      </c>
      <c r="E18" s="13" t="s">
        <v>66</v>
      </c>
    </row>
    <row r="19" spans="1:5" ht="20.100000000000001" customHeight="1" x14ac:dyDescent="0.25">
      <c r="A19" s="4">
        <v>11</v>
      </c>
      <c r="B19" s="5" t="s">
        <v>67</v>
      </c>
      <c r="C19" s="6">
        <v>0</v>
      </c>
      <c r="D19" s="7" t="s">
        <v>61</v>
      </c>
      <c r="E19" s="8" t="s">
        <v>68</v>
      </c>
    </row>
    <row r="20" spans="1:5" ht="20.100000000000001" customHeight="1" x14ac:dyDescent="0.25">
      <c r="A20" s="9">
        <v>12</v>
      </c>
      <c r="B20" s="10" t="s">
        <v>69</v>
      </c>
      <c r="C20" s="11">
        <v>0</v>
      </c>
      <c r="D20" s="12" t="s">
        <v>61</v>
      </c>
      <c r="E20" s="13" t="s">
        <v>70</v>
      </c>
    </row>
    <row r="21" spans="1:5" ht="20.100000000000001" customHeight="1" x14ac:dyDescent="0.25">
      <c r="A21" s="4">
        <v>13</v>
      </c>
      <c r="B21" s="5" t="s">
        <v>71</v>
      </c>
      <c r="C21" s="16">
        <v>75000</v>
      </c>
      <c r="D21" s="7" t="s">
        <v>61</v>
      </c>
      <c r="E21" s="8" t="s">
        <v>72</v>
      </c>
    </row>
    <row r="22" spans="1:5" ht="20.100000000000001" customHeight="1" x14ac:dyDescent="0.25">
      <c r="A22" s="9">
        <v>14</v>
      </c>
      <c r="B22" s="10" t="s">
        <v>73</v>
      </c>
      <c r="C22" s="11">
        <v>0</v>
      </c>
      <c r="D22" s="12" t="s">
        <v>61</v>
      </c>
      <c r="E22" s="13" t="s">
        <v>74</v>
      </c>
    </row>
    <row r="23" spans="1:5" ht="6" customHeight="1" x14ac:dyDescent="0.25"/>
    <row r="24" spans="1:5" ht="20.100000000000001" customHeight="1" x14ac:dyDescent="0.25">
      <c r="A24" s="92" t="s">
        <v>75</v>
      </c>
      <c r="B24" s="84"/>
      <c r="C24" s="84"/>
      <c r="D24" s="84"/>
      <c r="E24" s="82"/>
    </row>
    <row r="25" spans="1:5" ht="20.100000000000001" customHeight="1" x14ac:dyDescent="0.25">
      <c r="A25" s="4">
        <v>15</v>
      </c>
      <c r="B25" s="5" t="s">
        <v>76</v>
      </c>
      <c r="C25" s="6">
        <v>200</v>
      </c>
      <c r="D25" s="7" t="s">
        <v>77</v>
      </c>
      <c r="E25" s="8" t="s">
        <v>78</v>
      </c>
    </row>
    <row r="26" spans="1:5" ht="20.100000000000001" customHeight="1" x14ac:dyDescent="0.25">
      <c r="A26" s="9">
        <v>16</v>
      </c>
      <c r="B26" s="10" t="s">
        <v>79</v>
      </c>
      <c r="C26" s="15">
        <v>1500</v>
      </c>
      <c r="D26" s="12" t="s">
        <v>77</v>
      </c>
      <c r="E26" s="13" t="s">
        <v>80</v>
      </c>
    </row>
    <row r="27" spans="1:5" ht="20.100000000000001" customHeight="1" x14ac:dyDescent="0.25">
      <c r="A27" s="4">
        <v>17</v>
      </c>
      <c r="B27" s="5" t="s">
        <v>81</v>
      </c>
      <c r="C27" s="6" t="s">
        <v>82</v>
      </c>
      <c r="D27" s="7" t="s">
        <v>83</v>
      </c>
      <c r="E27" s="8" t="s">
        <v>84</v>
      </c>
    </row>
    <row r="28" spans="1:5" ht="20.100000000000001" customHeight="1" x14ac:dyDescent="0.25">
      <c r="A28" s="9">
        <v>18</v>
      </c>
      <c r="B28" s="10" t="s">
        <v>85</v>
      </c>
      <c r="C28" s="17">
        <v>0.05</v>
      </c>
      <c r="D28" s="12" t="s">
        <v>57</v>
      </c>
      <c r="E28" s="13" t="s">
        <v>86</v>
      </c>
    </row>
    <row r="29" spans="1:5" ht="20.100000000000001" customHeight="1" x14ac:dyDescent="0.25">
      <c r="A29" s="4">
        <v>19</v>
      </c>
      <c r="B29" s="5" t="s">
        <v>87</v>
      </c>
      <c r="C29" s="14">
        <v>0.15</v>
      </c>
      <c r="D29" s="7" t="s">
        <v>57</v>
      </c>
      <c r="E29" s="8" t="s">
        <v>88</v>
      </c>
    </row>
    <row r="30" spans="1:5" ht="20.100000000000001" customHeight="1" x14ac:dyDescent="0.25">
      <c r="A30" s="9">
        <v>20</v>
      </c>
      <c r="B30" s="10" t="s">
        <v>89</v>
      </c>
      <c r="C30" s="11">
        <v>50</v>
      </c>
      <c r="D30" s="12" t="s">
        <v>90</v>
      </c>
      <c r="E30" s="13" t="s">
        <v>91</v>
      </c>
    </row>
    <row r="31" spans="1:5" ht="20.100000000000001" customHeight="1" x14ac:dyDescent="0.25">
      <c r="A31" s="4">
        <v>21</v>
      </c>
      <c r="B31" s="5" t="s">
        <v>92</v>
      </c>
      <c r="C31" s="6">
        <v>120</v>
      </c>
      <c r="D31" s="7" t="s">
        <v>90</v>
      </c>
      <c r="E31" s="8" t="s">
        <v>93</v>
      </c>
    </row>
    <row r="32" spans="1:5" ht="20.100000000000001" customHeight="1" x14ac:dyDescent="0.25">
      <c r="A32" s="9">
        <v>22</v>
      </c>
      <c r="B32" s="10" t="s">
        <v>94</v>
      </c>
      <c r="C32" s="15">
        <v>1000</v>
      </c>
      <c r="D32" s="12" t="s">
        <v>90</v>
      </c>
      <c r="E32" s="13" t="s">
        <v>95</v>
      </c>
    </row>
    <row r="33" spans="1:5" ht="6" customHeight="1" x14ac:dyDescent="0.25"/>
    <row r="34" spans="1:5" ht="20.100000000000001" customHeight="1" x14ac:dyDescent="0.25">
      <c r="A34" s="92" t="s">
        <v>96</v>
      </c>
      <c r="B34" s="84"/>
      <c r="C34" s="84"/>
      <c r="D34" s="84"/>
      <c r="E34" s="82"/>
    </row>
    <row r="35" spans="1:5" ht="20.100000000000001" customHeight="1" x14ac:dyDescent="0.25">
      <c r="A35" s="4">
        <v>23</v>
      </c>
      <c r="B35" s="5" t="s">
        <v>97</v>
      </c>
      <c r="C35" s="6">
        <v>0</v>
      </c>
      <c r="D35" s="7" t="s">
        <v>44</v>
      </c>
      <c r="E35" s="8" t="s">
        <v>98</v>
      </c>
    </row>
    <row r="36" spans="1:5" ht="20.100000000000001" customHeight="1" x14ac:dyDescent="0.25">
      <c r="A36" s="9">
        <v>24</v>
      </c>
      <c r="B36" s="10" t="s">
        <v>99</v>
      </c>
      <c r="C36" s="15">
        <v>5000</v>
      </c>
      <c r="D36" s="12" t="s">
        <v>44</v>
      </c>
      <c r="E36" s="13" t="s">
        <v>100</v>
      </c>
    </row>
    <row r="37" spans="1:5" ht="20.100000000000001" customHeight="1" x14ac:dyDescent="0.25">
      <c r="A37" s="4">
        <v>25</v>
      </c>
      <c r="B37" s="5" t="s">
        <v>101</v>
      </c>
      <c r="C37" s="16">
        <v>29000</v>
      </c>
      <c r="D37" s="7" t="s">
        <v>61</v>
      </c>
      <c r="E37" s="8" t="s">
        <v>102</v>
      </c>
    </row>
    <row r="38" spans="1:5" ht="20.100000000000001" customHeight="1" x14ac:dyDescent="0.25">
      <c r="A38" s="9">
        <v>26</v>
      </c>
      <c r="B38" s="10" t="s">
        <v>103</v>
      </c>
      <c r="C38" s="15">
        <v>249000</v>
      </c>
      <c r="D38" s="12" t="s">
        <v>104</v>
      </c>
      <c r="E38" s="13" t="s">
        <v>105</v>
      </c>
    </row>
    <row r="39" spans="1:5" ht="20.100000000000001" customHeight="1" x14ac:dyDescent="0.25">
      <c r="A39" s="4">
        <v>27</v>
      </c>
      <c r="B39" s="5" t="s">
        <v>106</v>
      </c>
      <c r="C39" s="16">
        <v>500000</v>
      </c>
      <c r="D39" s="7" t="s">
        <v>61</v>
      </c>
      <c r="E39" s="8" t="s">
        <v>107</v>
      </c>
    </row>
    <row r="40" spans="1:5" ht="6" customHeight="1" x14ac:dyDescent="0.25"/>
    <row r="41" spans="1:5" ht="20.100000000000001" customHeight="1" x14ac:dyDescent="0.25">
      <c r="A41" s="92" t="s">
        <v>108</v>
      </c>
      <c r="B41" s="84"/>
      <c r="C41" s="84"/>
      <c r="D41" s="84"/>
      <c r="E41" s="82"/>
    </row>
    <row r="42" spans="1:5" ht="20.100000000000001" customHeight="1" x14ac:dyDescent="0.25">
      <c r="A42" s="9">
        <v>28</v>
      </c>
      <c r="B42" s="10" t="s">
        <v>109</v>
      </c>
      <c r="C42" s="15">
        <v>10000</v>
      </c>
      <c r="D42" s="12" t="s">
        <v>90</v>
      </c>
      <c r="E42" s="13" t="s">
        <v>110</v>
      </c>
    </row>
    <row r="43" spans="1:5" ht="20.100000000000001" customHeight="1" x14ac:dyDescent="0.25">
      <c r="A43" s="4">
        <v>29</v>
      </c>
      <c r="B43" s="5" t="s">
        <v>111</v>
      </c>
      <c r="C43" s="16">
        <v>3000</v>
      </c>
      <c r="D43" s="7" t="s">
        <v>90</v>
      </c>
      <c r="E43" s="8" t="s">
        <v>112</v>
      </c>
    </row>
    <row r="44" spans="1:5" ht="20.100000000000001" customHeight="1" x14ac:dyDescent="0.25">
      <c r="A44" s="9">
        <v>30</v>
      </c>
      <c r="B44" s="10" t="s">
        <v>113</v>
      </c>
      <c r="C44" s="11">
        <v>800</v>
      </c>
      <c r="D44" s="12" t="s">
        <v>90</v>
      </c>
      <c r="E44" s="13" t="s">
        <v>114</v>
      </c>
    </row>
    <row r="45" spans="1:5" ht="20.100000000000001" customHeight="1" x14ac:dyDescent="0.25">
      <c r="A45" s="4">
        <v>31</v>
      </c>
      <c r="B45" s="5" t="s">
        <v>115</v>
      </c>
      <c r="C45" s="16">
        <v>16500</v>
      </c>
      <c r="D45" s="7" t="s">
        <v>116</v>
      </c>
      <c r="E45" s="8" t="s">
        <v>117</v>
      </c>
    </row>
    <row r="47" spans="1:5" ht="6" customHeight="1" x14ac:dyDescent="0.25"/>
    <row r="48" spans="1:5" ht="20.100000000000001" customHeight="1" x14ac:dyDescent="0.25">
      <c r="A48" s="98" t="s">
        <v>118</v>
      </c>
      <c r="B48" s="84"/>
      <c r="C48" s="84"/>
      <c r="D48" s="84"/>
      <c r="E48" s="82"/>
    </row>
  </sheetData>
  <mergeCells count="8">
    <mergeCell ref="A1:E1"/>
    <mergeCell ref="A6:E6"/>
    <mergeCell ref="A34:E34"/>
    <mergeCell ref="A48:E48"/>
    <mergeCell ref="A24:E24"/>
    <mergeCell ref="A2:E2"/>
    <mergeCell ref="A15:E15"/>
    <mergeCell ref="A41:E4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
  <sheetViews>
    <sheetView showGridLines="0" topLeftCell="A7" workbookViewId="0">
      <selection activeCell="J16" sqref="J16"/>
    </sheetView>
  </sheetViews>
  <sheetFormatPr defaultRowHeight="15" x14ac:dyDescent="0.25"/>
  <cols>
    <col min="1" max="1" width="28" customWidth="1"/>
    <col min="2" max="4" width="18" customWidth="1"/>
    <col min="5" max="5" width="32" customWidth="1"/>
  </cols>
  <sheetData>
    <row r="1" spans="1:5" ht="36" customHeight="1" x14ac:dyDescent="0.25">
      <c r="A1" s="101" t="s">
        <v>119</v>
      </c>
      <c r="B1" s="87"/>
      <c r="C1" s="87"/>
      <c r="D1" s="87"/>
      <c r="E1" s="87"/>
    </row>
    <row r="2" spans="1:5" ht="18" customHeight="1" x14ac:dyDescent="0.25">
      <c r="A2" s="99" t="s">
        <v>120</v>
      </c>
      <c r="B2" s="87"/>
      <c r="C2" s="87"/>
      <c r="D2" s="87"/>
      <c r="E2" s="87"/>
    </row>
    <row r="3" spans="1:5" ht="6" customHeight="1" x14ac:dyDescent="0.25"/>
    <row r="4" spans="1:5" ht="26.1" customHeight="1" x14ac:dyDescent="0.25">
      <c r="A4" s="18" t="s">
        <v>121</v>
      </c>
      <c r="B4" s="18" t="s">
        <v>122</v>
      </c>
      <c r="C4" s="18" t="s">
        <v>123</v>
      </c>
      <c r="D4" s="18" t="s">
        <v>124</v>
      </c>
      <c r="E4" s="18" t="s">
        <v>125</v>
      </c>
    </row>
    <row r="5" spans="1:5" ht="20.100000000000001" customHeight="1" x14ac:dyDescent="0.25">
      <c r="A5" s="92" t="s">
        <v>126</v>
      </c>
      <c r="B5" s="84"/>
      <c r="C5" s="84"/>
      <c r="D5" s="84"/>
      <c r="E5" s="82"/>
    </row>
    <row r="6" spans="1:5" ht="20.100000000000001" customHeight="1" x14ac:dyDescent="0.25">
      <c r="A6" s="10" t="s">
        <v>127</v>
      </c>
      <c r="B6" s="19">
        <f>ASUMSI!C7</f>
        <v>80</v>
      </c>
      <c r="C6" s="19">
        <f>B6*50</f>
        <v>4000</v>
      </c>
      <c r="D6" s="19">
        <f>B6*1000*0.85</f>
        <v>68000</v>
      </c>
      <c r="E6" s="13" t="s">
        <v>128</v>
      </c>
    </row>
    <row r="7" spans="1:5" ht="20.100000000000001" customHeight="1" x14ac:dyDescent="0.25">
      <c r="A7" s="5" t="s">
        <v>129</v>
      </c>
      <c r="B7" s="20">
        <f>ASUMSI!C10</f>
        <v>2</v>
      </c>
      <c r="C7" s="20">
        <f>B7*50</f>
        <v>100</v>
      </c>
      <c r="D7" s="20">
        <f>B7*1000</f>
        <v>2000</v>
      </c>
      <c r="E7" s="8" t="s">
        <v>130</v>
      </c>
    </row>
    <row r="8" spans="1:5" ht="20.100000000000001" customHeight="1" x14ac:dyDescent="0.25">
      <c r="A8" s="10" t="s">
        <v>131</v>
      </c>
      <c r="B8" s="19">
        <f>ASUMSI!C11</f>
        <v>5</v>
      </c>
      <c r="C8" s="19">
        <f>B8*50</f>
        <v>250</v>
      </c>
      <c r="D8" s="19">
        <f>B8*1000</f>
        <v>5000</v>
      </c>
      <c r="E8" s="13" t="s">
        <v>132</v>
      </c>
    </row>
    <row r="9" spans="1:5" ht="20.100000000000001" customHeight="1" x14ac:dyDescent="0.25">
      <c r="A9" s="5" t="s">
        <v>133</v>
      </c>
      <c r="B9" s="20">
        <f>ASUMSI!C12</f>
        <v>15</v>
      </c>
      <c r="C9" s="20">
        <f>B9*50</f>
        <v>750</v>
      </c>
      <c r="D9" s="20">
        <f>B9*1000*0.7</f>
        <v>10500</v>
      </c>
      <c r="E9" s="8" t="s">
        <v>134</v>
      </c>
    </row>
    <row r="10" spans="1:5" ht="20.100000000000001" customHeight="1" x14ac:dyDescent="0.25">
      <c r="A10" s="10" t="s">
        <v>135</v>
      </c>
      <c r="B10" s="19">
        <f>ASUMSI!C13*ASUMSI!C36/50</f>
        <v>2.9</v>
      </c>
      <c r="C10" s="19">
        <f>ASUMSI!C13*ASUMSI!C36</f>
        <v>145</v>
      </c>
      <c r="D10" s="19">
        <f>ASUMSI!C13*ASUMSI!C36*20</f>
        <v>2900</v>
      </c>
      <c r="E10" s="13" t="s">
        <v>136</v>
      </c>
    </row>
    <row r="11" spans="1:5" ht="24" customHeight="1" x14ac:dyDescent="0.25">
      <c r="A11" s="21" t="s">
        <v>137</v>
      </c>
      <c r="B11" s="22">
        <f>SUM(B6:B10)</f>
        <v>104.9</v>
      </c>
      <c r="C11" s="22">
        <f>SUM(C6:C10)</f>
        <v>5245</v>
      </c>
      <c r="D11" s="22">
        <f>SUM(D6:D10)</f>
        <v>88400</v>
      </c>
      <c r="E11" s="23" t="s">
        <v>138</v>
      </c>
    </row>
    <row r="13" spans="1:5" ht="20.100000000000001" customHeight="1" x14ac:dyDescent="0.25">
      <c r="A13" s="92" t="s">
        <v>139</v>
      </c>
      <c r="B13" s="84"/>
      <c r="C13" s="84"/>
      <c r="D13" s="84"/>
      <c r="E13" s="82"/>
    </row>
    <row r="14" spans="1:5" ht="21.95" customHeight="1" x14ac:dyDescent="0.25">
      <c r="A14" s="24" t="s">
        <v>140</v>
      </c>
      <c r="B14" s="25">
        <f>ASUMSI!C36/50</f>
        <v>100</v>
      </c>
      <c r="C14" s="25">
        <f>ASUMSI!C36</f>
        <v>5000</v>
      </c>
      <c r="D14" s="25">
        <f>ASUMSI!C36*20</f>
        <v>100000</v>
      </c>
      <c r="E14" s="26"/>
    </row>
    <row r="15" spans="1:5" ht="21.95" customHeight="1" x14ac:dyDescent="0.25">
      <c r="A15" s="5" t="s">
        <v>141</v>
      </c>
      <c r="B15" s="20">
        <f>B11</f>
        <v>104.9</v>
      </c>
      <c r="C15" s="20">
        <f>C11</f>
        <v>5245</v>
      </c>
      <c r="D15" s="20">
        <f>D11</f>
        <v>88400</v>
      </c>
      <c r="E15" s="5"/>
    </row>
    <row r="16" spans="1:5" ht="21.95" customHeight="1" x14ac:dyDescent="0.25">
      <c r="A16" s="24" t="s">
        <v>142</v>
      </c>
      <c r="B16" s="25">
        <f>B14-B15</f>
        <v>-4.9000000000000057</v>
      </c>
      <c r="C16" s="25">
        <f>C14-C15</f>
        <v>-245</v>
      </c>
      <c r="D16" s="25">
        <f>D14-D15</f>
        <v>11600</v>
      </c>
      <c r="E16" s="26"/>
    </row>
    <row r="17" spans="1:5" ht="21.95" customHeight="1" x14ac:dyDescent="0.25">
      <c r="A17" s="27" t="s">
        <v>143</v>
      </c>
      <c r="B17" s="28">
        <f>IF(B14&gt;0,(B14-B15)/B14,0)</f>
        <v>-4.9000000000000057E-2</v>
      </c>
      <c r="C17" s="28">
        <f>IF(C14&gt;0,(C14-C15)/C14,0)</f>
        <v>-4.9000000000000002E-2</v>
      </c>
      <c r="D17" s="28">
        <f>IF(D14&gt;0,(D14-D15)/D14,0)</f>
        <v>0.11600000000000001</v>
      </c>
      <c r="E17" s="10"/>
    </row>
    <row r="19" spans="1:5" ht="8.1" customHeight="1" x14ac:dyDescent="0.25"/>
    <row r="20" spans="1:5" ht="20.100000000000001" customHeight="1" x14ac:dyDescent="0.25">
      <c r="A20" s="96" t="s">
        <v>144</v>
      </c>
      <c r="B20" s="84"/>
      <c r="C20" s="84"/>
      <c r="D20" s="84"/>
      <c r="E20" s="82"/>
    </row>
    <row r="21" spans="1:5" ht="20.100000000000001" customHeight="1" x14ac:dyDescent="0.25">
      <c r="A21" s="10" t="s">
        <v>145</v>
      </c>
      <c r="B21" s="19">
        <f>ASUMSI!C8</f>
        <v>200</v>
      </c>
      <c r="C21" s="19">
        <f>B21*50</f>
        <v>10000</v>
      </c>
      <c r="D21" s="19">
        <f>B21*1000*0.8</f>
        <v>160000</v>
      </c>
      <c r="E21" s="13" t="s">
        <v>146</v>
      </c>
    </row>
    <row r="22" spans="1:5" ht="20.100000000000001" customHeight="1" x14ac:dyDescent="0.25">
      <c r="A22" s="5" t="s">
        <v>147</v>
      </c>
      <c r="B22" s="20">
        <f>ASUMSI!C10</f>
        <v>2</v>
      </c>
      <c r="C22" s="20">
        <f>B22*50</f>
        <v>100</v>
      </c>
      <c r="D22" s="20">
        <f>B22*1000</f>
        <v>2000</v>
      </c>
      <c r="E22" s="8" t="s">
        <v>148</v>
      </c>
    </row>
    <row r="23" spans="1:5" ht="20.100000000000001" customHeight="1" x14ac:dyDescent="0.25">
      <c r="A23" s="10" t="s">
        <v>149</v>
      </c>
      <c r="B23" s="19">
        <f>ASUMSI!C11</f>
        <v>5</v>
      </c>
      <c r="C23" s="19">
        <f>B23*50</f>
        <v>250</v>
      </c>
      <c r="D23" s="19">
        <f>B23*1000</f>
        <v>5000</v>
      </c>
      <c r="E23" s="13" t="s">
        <v>150</v>
      </c>
    </row>
    <row r="24" spans="1:5" ht="20.100000000000001" customHeight="1" x14ac:dyDescent="0.25">
      <c r="A24" s="5" t="s">
        <v>151</v>
      </c>
      <c r="B24" s="20">
        <f>ASUMSI!C12</f>
        <v>15</v>
      </c>
      <c r="C24" s="20">
        <f>B24*50</f>
        <v>750</v>
      </c>
      <c r="D24" s="20">
        <f>B24*1000*0.6</f>
        <v>9000</v>
      </c>
      <c r="E24" s="8" t="s">
        <v>152</v>
      </c>
    </row>
    <row r="25" spans="1:5" ht="20.100000000000001" customHeight="1" x14ac:dyDescent="0.25">
      <c r="A25" s="10" t="s">
        <v>153</v>
      </c>
      <c r="B25" s="19">
        <v>10</v>
      </c>
      <c r="C25" s="19">
        <v>500</v>
      </c>
      <c r="D25" s="19">
        <v>8000</v>
      </c>
      <c r="E25" s="13" t="s">
        <v>154</v>
      </c>
    </row>
    <row r="26" spans="1:5" ht="24" customHeight="1" x14ac:dyDescent="0.25">
      <c r="A26" s="96" t="s">
        <v>155</v>
      </c>
      <c r="B26" s="29">
        <f>SUM(B21:B25)</f>
        <v>232</v>
      </c>
      <c r="C26" s="29">
        <f>SUM(C21:C25)</f>
        <v>11600</v>
      </c>
      <c r="D26" s="29">
        <f>SUM(D21:D25)</f>
        <v>184000</v>
      </c>
    </row>
    <row r="28" spans="1:5" ht="20.100000000000001" customHeight="1" x14ac:dyDescent="0.25">
      <c r="A28" s="96" t="s">
        <v>156</v>
      </c>
      <c r="B28" s="84"/>
      <c r="C28" s="84"/>
      <c r="D28" s="84"/>
      <c r="E28" s="82"/>
    </row>
    <row r="29" spans="1:5" ht="21.95" customHeight="1" x14ac:dyDescent="0.25">
      <c r="A29" s="24" t="s">
        <v>157</v>
      </c>
      <c r="B29" s="25">
        <f>ASUMSI!C37/120</f>
        <v>241.66666666666666</v>
      </c>
      <c r="C29" s="25">
        <f>ASUMSI!C37/120*50</f>
        <v>12083.333333333332</v>
      </c>
      <c r="D29" s="25">
        <f>ASUMSI!C37/120*1000</f>
        <v>241666.66666666666</v>
      </c>
      <c r="E29" s="26"/>
    </row>
    <row r="30" spans="1:5" ht="21.95" customHeight="1" x14ac:dyDescent="0.25">
      <c r="A30" s="5" t="s">
        <v>158</v>
      </c>
      <c r="B30" s="20">
        <f>B26</f>
        <v>232</v>
      </c>
      <c r="C30" s="20">
        <f>C26</f>
        <v>11600</v>
      </c>
      <c r="D30" s="20">
        <f>D26</f>
        <v>184000</v>
      </c>
      <c r="E30" s="5"/>
    </row>
    <row r="31" spans="1:5" ht="21.95" customHeight="1" x14ac:dyDescent="0.25">
      <c r="A31" s="24" t="s">
        <v>159</v>
      </c>
      <c r="B31" s="25">
        <f>B29-B30</f>
        <v>9.6666666666666572</v>
      </c>
      <c r="C31" s="25">
        <f>C29-C30</f>
        <v>483.33333333333212</v>
      </c>
      <c r="D31" s="25">
        <f>D29-D30</f>
        <v>57666.666666666657</v>
      </c>
      <c r="E31" s="26"/>
    </row>
    <row r="32" spans="1:5" ht="21.95" customHeight="1" x14ac:dyDescent="0.25">
      <c r="A32" s="30" t="s">
        <v>143</v>
      </c>
      <c r="B32" s="31">
        <f>IF(B29&gt;0,(B29-B30)/B29,0)</f>
        <v>3.9999999999999959E-2</v>
      </c>
      <c r="C32" s="31">
        <f>IF(C29&gt;0,(C29-C30)/C29,0)</f>
        <v>3.9999999999999904E-2</v>
      </c>
      <c r="D32" s="31">
        <f>IF(D29&gt;0,(D29-D30)/D29,0)</f>
        <v>0.23862068965517239</v>
      </c>
      <c r="E32" s="5"/>
    </row>
  </sheetData>
  <mergeCells count="7">
    <mergeCell ref="A20:E20"/>
    <mergeCell ref="A2:E2"/>
    <mergeCell ref="A26"/>
    <mergeCell ref="A28:E28"/>
    <mergeCell ref="A1:E1"/>
    <mergeCell ref="A5:E5"/>
    <mergeCell ref="A13:E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9"/>
  <sheetViews>
    <sheetView showGridLines="0" topLeftCell="A22" workbookViewId="0">
      <selection sqref="A1:E1"/>
    </sheetView>
  </sheetViews>
  <sheetFormatPr defaultRowHeight="15" x14ac:dyDescent="0.25"/>
  <cols>
    <col min="1" max="1" width="28" customWidth="1"/>
    <col min="2" max="4" width="16" customWidth="1"/>
    <col min="5" max="5" width="28" customWidth="1"/>
  </cols>
  <sheetData>
    <row r="1" spans="1:5" ht="36" customHeight="1" x14ac:dyDescent="0.25">
      <c r="A1" s="101" t="s">
        <v>160</v>
      </c>
      <c r="B1" s="87"/>
      <c r="C1" s="87"/>
      <c r="D1" s="87"/>
      <c r="E1" s="87"/>
    </row>
    <row r="2" spans="1:5" ht="8.1" customHeight="1" x14ac:dyDescent="0.25"/>
    <row r="3" spans="1:5" ht="26.1" customHeight="1" x14ac:dyDescent="0.25">
      <c r="A3" s="32" t="s">
        <v>161</v>
      </c>
      <c r="B3" s="33" t="s">
        <v>162</v>
      </c>
      <c r="C3" s="34" t="s">
        <v>163</v>
      </c>
      <c r="D3" s="35" t="s">
        <v>164</v>
      </c>
      <c r="E3" s="32" t="s">
        <v>41</v>
      </c>
    </row>
    <row r="4" spans="1:5" ht="21.95" customHeight="1" x14ac:dyDescent="0.25">
      <c r="A4" s="10" t="s">
        <v>165</v>
      </c>
      <c r="B4" s="11">
        <v>60</v>
      </c>
      <c r="C4" s="11">
        <v>80</v>
      </c>
      <c r="D4" s="15">
        <v>120</v>
      </c>
      <c r="E4" s="13" t="s">
        <v>166</v>
      </c>
    </row>
    <row r="5" spans="1:5" ht="21.95" customHeight="1" x14ac:dyDescent="0.25">
      <c r="A5" s="5" t="s">
        <v>167</v>
      </c>
      <c r="B5" s="16">
        <v>150</v>
      </c>
      <c r="C5" s="16">
        <v>200</v>
      </c>
      <c r="D5" s="16">
        <v>280</v>
      </c>
      <c r="E5" s="8" t="s">
        <v>168</v>
      </c>
    </row>
    <row r="6" spans="1:5" ht="21.95" customHeight="1" x14ac:dyDescent="0.25">
      <c r="A6" s="10" t="s">
        <v>169</v>
      </c>
      <c r="B6" s="11">
        <v>1</v>
      </c>
      <c r="C6" s="11">
        <v>2</v>
      </c>
      <c r="D6" s="11">
        <v>4</v>
      </c>
      <c r="E6" s="13" t="s">
        <v>170</v>
      </c>
    </row>
    <row r="7" spans="1:5" ht="21.95" customHeight="1" x14ac:dyDescent="0.25">
      <c r="A7" s="5" t="s">
        <v>171</v>
      </c>
      <c r="B7" s="6">
        <v>3</v>
      </c>
      <c r="C7" s="6">
        <v>5</v>
      </c>
      <c r="D7" s="6">
        <v>8</v>
      </c>
      <c r="E7" s="8" t="s">
        <v>172</v>
      </c>
    </row>
    <row r="8" spans="1:5" ht="21.95" customHeight="1" x14ac:dyDescent="0.25">
      <c r="A8" s="10" t="s">
        <v>173</v>
      </c>
      <c r="B8" s="11">
        <v>8</v>
      </c>
      <c r="C8" s="11">
        <v>15</v>
      </c>
      <c r="D8" s="11">
        <v>25</v>
      </c>
      <c r="E8" s="13" t="s">
        <v>174</v>
      </c>
    </row>
    <row r="9" spans="1:5" ht="21.95" customHeight="1" x14ac:dyDescent="0.25">
      <c r="A9" s="5" t="s">
        <v>175</v>
      </c>
      <c r="B9" s="14">
        <v>2.5000000000000001E-2</v>
      </c>
      <c r="C9" s="14">
        <v>2.9000000000000001E-2</v>
      </c>
      <c r="D9" s="14">
        <v>2.9000000000000001E-2</v>
      </c>
      <c r="E9" s="8" t="s">
        <v>176</v>
      </c>
    </row>
    <row r="10" spans="1:5" ht="21.95" customHeight="1" x14ac:dyDescent="0.25">
      <c r="A10" s="10" t="s">
        <v>177</v>
      </c>
      <c r="B10" s="15">
        <v>500</v>
      </c>
      <c r="C10" s="15">
        <v>200</v>
      </c>
      <c r="D10" s="11">
        <v>80</v>
      </c>
      <c r="E10" s="13" t="s">
        <v>178</v>
      </c>
    </row>
    <row r="11" spans="1:5" ht="21.95" customHeight="1" x14ac:dyDescent="0.25">
      <c r="A11" s="5" t="s">
        <v>179</v>
      </c>
      <c r="B11" s="6">
        <v>60</v>
      </c>
      <c r="C11" s="6">
        <v>50</v>
      </c>
      <c r="D11" s="6">
        <v>35</v>
      </c>
      <c r="E11" s="8" t="s">
        <v>180</v>
      </c>
    </row>
    <row r="12" spans="1:5" ht="21.95" customHeight="1" x14ac:dyDescent="0.25">
      <c r="A12" s="10" t="s">
        <v>181</v>
      </c>
      <c r="B12" s="15">
        <v>150</v>
      </c>
      <c r="C12" s="15">
        <v>120</v>
      </c>
      <c r="D12" s="11">
        <v>80</v>
      </c>
      <c r="E12" s="13" t="s">
        <v>182</v>
      </c>
    </row>
    <row r="13" spans="1:5" ht="21.95" customHeight="1" x14ac:dyDescent="0.25">
      <c r="A13" s="5" t="s">
        <v>183</v>
      </c>
      <c r="B13" s="36" t="s">
        <v>184</v>
      </c>
      <c r="C13" s="36" t="s">
        <v>185</v>
      </c>
      <c r="D13" s="36" t="s">
        <v>186</v>
      </c>
      <c r="E13" s="8" t="s">
        <v>187</v>
      </c>
    </row>
    <row r="15" spans="1:5" ht="8.1" customHeight="1" x14ac:dyDescent="0.25"/>
    <row r="16" spans="1:5" ht="20.100000000000001" customHeight="1" x14ac:dyDescent="0.25">
      <c r="A16" s="92" t="s">
        <v>188</v>
      </c>
      <c r="B16" s="84"/>
      <c r="C16" s="84"/>
      <c r="D16" s="84"/>
      <c r="E16" s="82"/>
    </row>
    <row r="17" spans="1:5" ht="21.95" customHeight="1" x14ac:dyDescent="0.25">
      <c r="A17" s="10" t="s">
        <v>189</v>
      </c>
      <c r="B17" s="19">
        <f>B4+B6+B7+B8</f>
        <v>72</v>
      </c>
      <c r="C17" s="19">
        <f>C4+C6+C7+C8</f>
        <v>102</v>
      </c>
      <c r="D17" s="19">
        <f>D4+D6+D7+D8</f>
        <v>157</v>
      </c>
      <c r="E17" s="10"/>
    </row>
    <row r="18" spans="1:5" ht="21.95" customHeight="1" x14ac:dyDescent="0.25">
      <c r="A18" s="5" t="s">
        <v>190</v>
      </c>
      <c r="B18" s="20">
        <f>B5+B6+B7+B8</f>
        <v>162</v>
      </c>
      <c r="C18" s="20">
        <f>C5+C6+C7+C8</f>
        <v>222</v>
      </c>
      <c r="D18" s="20">
        <f>D5+D6+D7+D8</f>
        <v>317</v>
      </c>
      <c r="E18" s="5"/>
    </row>
    <row r="19" spans="1:5" ht="21.95" customHeight="1" x14ac:dyDescent="0.25">
      <c r="A19" s="10" t="s">
        <v>191</v>
      </c>
      <c r="B19" s="19">
        <v>100</v>
      </c>
      <c r="C19" s="19">
        <v>100</v>
      </c>
      <c r="D19" s="19">
        <v>100</v>
      </c>
      <c r="E19" s="10"/>
    </row>
    <row r="20" spans="1:5" ht="21.95" customHeight="1" x14ac:dyDescent="0.25">
      <c r="A20" s="5" t="s">
        <v>192</v>
      </c>
      <c r="B20" s="20">
        <f>29000/B12</f>
        <v>193.33333333333334</v>
      </c>
      <c r="C20" s="20">
        <f>29000/C12</f>
        <v>241.66666666666666</v>
      </c>
      <c r="D20" s="20">
        <f>29000/D12</f>
        <v>362.5</v>
      </c>
      <c r="E20" s="5"/>
    </row>
    <row r="21" spans="1:5" ht="21.95" customHeight="1" x14ac:dyDescent="0.25">
      <c r="A21" s="27" t="s">
        <v>193</v>
      </c>
      <c r="B21" s="28">
        <f t="shared" ref="B21:D22" si="0">IF(B19&gt;0,(B19-B17)/B19,0)</f>
        <v>0.28000000000000003</v>
      </c>
      <c r="C21" s="28">
        <f t="shared" si="0"/>
        <v>-0.02</v>
      </c>
      <c r="D21" s="28">
        <f t="shared" si="0"/>
        <v>-0.56999999999999995</v>
      </c>
      <c r="E21" s="10"/>
    </row>
    <row r="22" spans="1:5" ht="21.95" customHeight="1" x14ac:dyDescent="0.25">
      <c r="A22" s="30" t="s">
        <v>194</v>
      </c>
      <c r="B22" s="31">
        <f t="shared" si="0"/>
        <v>0.16206896551724143</v>
      </c>
      <c r="C22" s="31">
        <f t="shared" si="0"/>
        <v>8.1379310344827552E-2</v>
      </c>
      <c r="D22" s="31">
        <f t="shared" si="0"/>
        <v>0.12551724137931033</v>
      </c>
      <c r="E22" s="5"/>
    </row>
    <row r="23" spans="1:5" ht="21.95" customHeight="1" x14ac:dyDescent="0.25">
      <c r="A23" s="24" t="s">
        <v>195</v>
      </c>
      <c r="B23" s="25">
        <f t="shared" ref="B23:D24" si="1">(B19-B17)*1000</f>
        <v>28000</v>
      </c>
      <c r="C23" s="25">
        <f t="shared" si="1"/>
        <v>-2000</v>
      </c>
      <c r="D23" s="25">
        <f t="shared" si="1"/>
        <v>-57000</v>
      </c>
      <c r="E23" s="26"/>
    </row>
    <row r="24" spans="1:5" ht="21.95" customHeight="1" x14ac:dyDescent="0.25">
      <c r="A24" s="24" t="s">
        <v>196</v>
      </c>
      <c r="B24" s="25">
        <f t="shared" si="1"/>
        <v>31333.333333333343</v>
      </c>
      <c r="C24" s="25">
        <f t="shared" si="1"/>
        <v>19666.666666666657</v>
      </c>
      <c r="D24" s="25">
        <f t="shared" si="1"/>
        <v>45500</v>
      </c>
      <c r="E24" s="26"/>
    </row>
    <row r="27" spans="1:5" ht="20.100000000000001" customHeight="1" x14ac:dyDescent="0.25">
      <c r="A27" s="37" t="s">
        <v>197</v>
      </c>
      <c r="B27" s="38" t="s">
        <v>162</v>
      </c>
      <c r="C27" s="39" t="s">
        <v>163</v>
      </c>
      <c r="D27" s="40" t="s">
        <v>164</v>
      </c>
    </row>
    <row r="28" spans="1:5" x14ac:dyDescent="0.25">
      <c r="A28" t="s">
        <v>198</v>
      </c>
      <c r="B28" s="41">
        <f t="shared" ref="B28:D29" si="2">B21</f>
        <v>0.28000000000000003</v>
      </c>
      <c r="C28" s="41">
        <f t="shared" si="2"/>
        <v>-0.02</v>
      </c>
      <c r="D28" s="41">
        <f t="shared" si="2"/>
        <v>-0.56999999999999995</v>
      </c>
    </row>
    <row r="29" spans="1:5" x14ac:dyDescent="0.25">
      <c r="A29" t="s">
        <v>199</v>
      </c>
      <c r="B29" s="41">
        <f t="shared" si="2"/>
        <v>0.16206896551724143</v>
      </c>
      <c r="C29" s="41">
        <f t="shared" si="2"/>
        <v>8.1379310344827552E-2</v>
      </c>
      <c r="D29" s="41">
        <f t="shared" si="2"/>
        <v>0.12551724137931033</v>
      </c>
    </row>
  </sheetData>
  <mergeCells count="2">
    <mergeCell ref="A16:E16"/>
    <mergeCell ref="A1:E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20"/>
  <sheetViews>
    <sheetView showGridLines="0" topLeftCell="A16" workbookViewId="0"/>
  </sheetViews>
  <sheetFormatPr defaultRowHeight="15" x14ac:dyDescent="0.25"/>
  <cols>
    <col min="1" max="1" width="5" customWidth="1"/>
    <col min="2" max="2" width="35" customWidth="1"/>
    <col min="3" max="3" width="60" customWidth="1"/>
    <col min="4" max="4" width="5" customWidth="1"/>
  </cols>
  <sheetData>
    <row r="1" spans="2:3" ht="36" customHeight="1" x14ac:dyDescent="0.25">
      <c r="B1" s="101" t="s">
        <v>200</v>
      </c>
      <c r="C1" s="87"/>
    </row>
    <row r="3" spans="2:3" ht="6" customHeight="1" x14ac:dyDescent="0.25"/>
    <row r="4" spans="2:3" ht="26.1" customHeight="1" x14ac:dyDescent="0.25">
      <c r="B4" s="104" t="s">
        <v>201</v>
      </c>
      <c r="C4" s="82"/>
    </row>
    <row r="5" spans="2:3" ht="99.95" customHeight="1" x14ac:dyDescent="0.25">
      <c r="B5" s="105" t="s">
        <v>202</v>
      </c>
      <c r="C5" s="82"/>
    </row>
    <row r="6" spans="2:3" ht="6" customHeight="1" x14ac:dyDescent="0.25"/>
    <row r="7" spans="2:3" ht="26.1" customHeight="1" x14ac:dyDescent="0.25">
      <c r="B7" s="104" t="s">
        <v>203</v>
      </c>
      <c r="C7" s="82"/>
    </row>
    <row r="8" spans="2:3" ht="99.95" customHeight="1" x14ac:dyDescent="0.25">
      <c r="B8" s="107" t="s">
        <v>204</v>
      </c>
      <c r="C8" s="82"/>
    </row>
    <row r="9" spans="2:3" ht="6" customHeight="1" x14ac:dyDescent="0.25"/>
    <row r="10" spans="2:3" ht="26.1" customHeight="1" x14ac:dyDescent="0.25">
      <c r="B10" s="108" t="s">
        <v>205</v>
      </c>
      <c r="C10" s="82"/>
    </row>
    <row r="11" spans="2:3" ht="99.95" customHeight="1" x14ac:dyDescent="0.25">
      <c r="B11" s="105" t="s">
        <v>206</v>
      </c>
      <c r="C11" s="82"/>
    </row>
    <row r="12" spans="2:3" ht="6" customHeight="1" x14ac:dyDescent="0.25"/>
    <row r="13" spans="2:3" ht="26.1" customHeight="1" x14ac:dyDescent="0.25">
      <c r="B13" s="102" t="s">
        <v>207</v>
      </c>
      <c r="C13" s="82"/>
    </row>
    <row r="14" spans="2:3" ht="99.95" customHeight="1" x14ac:dyDescent="0.25">
      <c r="B14" s="107" t="s">
        <v>208</v>
      </c>
      <c r="C14" s="82"/>
    </row>
    <row r="15" spans="2:3" ht="6" customHeight="1" x14ac:dyDescent="0.25"/>
    <row r="16" spans="2:3" ht="26.1" customHeight="1" x14ac:dyDescent="0.25">
      <c r="B16" s="103" t="s">
        <v>209</v>
      </c>
      <c r="C16" s="82"/>
    </row>
    <row r="17" spans="2:3" ht="99.95" customHeight="1" x14ac:dyDescent="0.25">
      <c r="B17" s="105" t="s">
        <v>210</v>
      </c>
      <c r="C17" s="82"/>
    </row>
    <row r="18" spans="2:3" ht="6" customHeight="1" x14ac:dyDescent="0.25"/>
    <row r="19" spans="2:3" ht="26.1" customHeight="1" x14ac:dyDescent="0.25">
      <c r="B19" s="106" t="s">
        <v>211</v>
      </c>
      <c r="C19" s="82"/>
    </row>
    <row r="20" spans="2:3" ht="99.95" customHeight="1" x14ac:dyDescent="0.25">
      <c r="B20" s="107" t="s">
        <v>212</v>
      </c>
      <c r="C20" s="82"/>
    </row>
  </sheetData>
  <mergeCells count="13">
    <mergeCell ref="B1:C1"/>
    <mergeCell ref="B8:C8"/>
    <mergeCell ref="B4:C4"/>
    <mergeCell ref="B19:C19"/>
    <mergeCell ref="B20:C20"/>
    <mergeCell ref="B10:C10"/>
    <mergeCell ref="B14:C14"/>
    <mergeCell ref="B17:C17"/>
    <mergeCell ref="B13:C13"/>
    <mergeCell ref="B16:C16"/>
    <mergeCell ref="B7:C7"/>
    <mergeCell ref="B11:C11"/>
    <mergeCell ref="B5:C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23"/>
  <sheetViews>
    <sheetView showGridLines="0" topLeftCell="A7" zoomScaleNormal="100" workbookViewId="0">
      <selection activeCell="H2" sqref="H2"/>
    </sheetView>
  </sheetViews>
  <sheetFormatPr defaultRowHeight="15" x14ac:dyDescent="0.25"/>
  <cols>
    <col min="1" max="1" width="3" customWidth="1"/>
    <col min="2" max="2" width="20" customWidth="1"/>
    <col min="3" max="3" width="23.140625" customWidth="1"/>
    <col min="4" max="4" width="26.7109375" customWidth="1"/>
    <col min="5" max="5" width="26" customWidth="1"/>
    <col min="6" max="6" width="20.42578125" customWidth="1"/>
    <col min="7" max="7" width="3" customWidth="1"/>
  </cols>
  <sheetData>
    <row r="1" spans="2:6" ht="36" customHeight="1" x14ac:dyDescent="0.25">
      <c r="B1" s="101" t="s">
        <v>213</v>
      </c>
      <c r="C1" s="87"/>
      <c r="D1" s="87"/>
      <c r="E1" s="87"/>
      <c r="F1" s="87"/>
    </row>
    <row r="3" spans="2:6" ht="9.9499999999999993" customHeight="1" x14ac:dyDescent="0.25"/>
    <row r="4" spans="2:6" ht="50.1" customHeight="1" x14ac:dyDescent="0.25">
      <c r="B4" s="3" t="s">
        <v>214</v>
      </c>
      <c r="C4" s="42" t="s">
        <v>215</v>
      </c>
      <c r="D4" s="43" t="s">
        <v>216</v>
      </c>
      <c r="E4" s="44" t="s">
        <v>217</v>
      </c>
      <c r="F4" s="45" t="s">
        <v>218</v>
      </c>
    </row>
    <row r="5" spans="2:6" ht="54.95" customHeight="1" x14ac:dyDescent="0.25">
      <c r="B5" s="46" t="s">
        <v>219</v>
      </c>
      <c r="C5" s="47" t="s">
        <v>220</v>
      </c>
      <c r="D5" s="48" t="s">
        <v>221</v>
      </c>
      <c r="E5" s="49" t="s">
        <v>222</v>
      </c>
      <c r="F5" s="50" t="s">
        <v>223</v>
      </c>
    </row>
    <row r="6" spans="2:6" ht="21.95" customHeight="1" x14ac:dyDescent="0.25">
      <c r="B6" s="30" t="s">
        <v>224</v>
      </c>
      <c r="C6" s="51" t="s">
        <v>225</v>
      </c>
      <c r="D6" s="52" t="s">
        <v>226</v>
      </c>
      <c r="E6" s="53" t="s">
        <v>227</v>
      </c>
      <c r="F6" s="54" t="s">
        <v>228</v>
      </c>
    </row>
    <row r="7" spans="2:6" ht="21.95" customHeight="1" x14ac:dyDescent="0.25">
      <c r="B7" s="46" t="s">
        <v>229</v>
      </c>
      <c r="C7" s="51" t="s">
        <v>230</v>
      </c>
      <c r="D7" s="52" t="s">
        <v>231</v>
      </c>
      <c r="E7" s="53" t="s">
        <v>232</v>
      </c>
      <c r="F7" s="54" t="s">
        <v>233</v>
      </c>
    </row>
    <row r="8" spans="2:6" ht="21.95" customHeight="1" x14ac:dyDescent="0.25">
      <c r="B8" s="30" t="s">
        <v>234</v>
      </c>
      <c r="C8" s="51" t="s">
        <v>235</v>
      </c>
      <c r="D8" s="52" t="s">
        <v>236</v>
      </c>
      <c r="E8" s="53" t="s">
        <v>237</v>
      </c>
      <c r="F8" s="54" t="s">
        <v>238</v>
      </c>
    </row>
    <row r="9" spans="2:6" ht="21.95" customHeight="1" x14ac:dyDescent="0.25">
      <c r="B9" s="46" t="s">
        <v>239</v>
      </c>
      <c r="C9" s="51" t="s">
        <v>240</v>
      </c>
      <c r="D9" s="52" t="s">
        <v>240</v>
      </c>
      <c r="E9" s="53" t="s">
        <v>241</v>
      </c>
      <c r="F9" s="54" t="s">
        <v>242</v>
      </c>
    </row>
    <row r="10" spans="2:6" ht="21.95" customHeight="1" x14ac:dyDescent="0.25">
      <c r="B10" s="30" t="s">
        <v>243</v>
      </c>
      <c r="C10" s="51" t="s">
        <v>244</v>
      </c>
      <c r="D10" s="52" t="s">
        <v>240</v>
      </c>
      <c r="E10" s="53" t="s">
        <v>240</v>
      </c>
      <c r="F10" s="54" t="s">
        <v>245</v>
      </c>
    </row>
    <row r="11" spans="2:6" ht="21.95" customHeight="1" x14ac:dyDescent="0.25">
      <c r="B11" s="46" t="s">
        <v>246</v>
      </c>
      <c r="C11" s="51" t="s">
        <v>247</v>
      </c>
      <c r="D11" s="52" t="s">
        <v>248</v>
      </c>
      <c r="E11" s="53" t="s">
        <v>248</v>
      </c>
      <c r="F11" s="54" t="s">
        <v>249</v>
      </c>
    </row>
    <row r="12" spans="2:6" ht="21.95" customHeight="1" x14ac:dyDescent="0.25">
      <c r="B12" s="30" t="s">
        <v>250</v>
      </c>
      <c r="C12" s="51" t="s">
        <v>240</v>
      </c>
      <c r="D12" s="52" t="s">
        <v>240</v>
      </c>
      <c r="E12" s="53" t="s">
        <v>251</v>
      </c>
      <c r="F12" s="54" t="s">
        <v>252</v>
      </c>
    </row>
    <row r="13" spans="2:6" ht="21.95" customHeight="1" x14ac:dyDescent="0.25">
      <c r="B13" s="46" t="s">
        <v>253</v>
      </c>
      <c r="C13" s="51" t="s">
        <v>254</v>
      </c>
      <c r="D13" s="52" t="s">
        <v>254</v>
      </c>
      <c r="E13" s="53" t="s">
        <v>255</v>
      </c>
      <c r="F13" s="54" t="s">
        <v>256</v>
      </c>
    </row>
    <row r="14" spans="2:6" ht="21.95" customHeight="1" x14ac:dyDescent="0.25">
      <c r="B14" s="30" t="s">
        <v>257</v>
      </c>
      <c r="C14" s="51" t="s">
        <v>240</v>
      </c>
      <c r="D14" s="52" t="s">
        <v>240</v>
      </c>
      <c r="E14" s="53" t="s">
        <v>258</v>
      </c>
      <c r="F14" s="54" t="s">
        <v>259</v>
      </c>
    </row>
    <row r="15" spans="2:6" ht="21.95" customHeight="1" x14ac:dyDescent="0.25">
      <c r="B15" s="46" t="s">
        <v>260</v>
      </c>
      <c r="C15" s="51" t="s">
        <v>240</v>
      </c>
      <c r="D15" s="52" t="s">
        <v>240</v>
      </c>
      <c r="E15" s="53" t="s">
        <v>240</v>
      </c>
      <c r="F15" s="54" t="s">
        <v>244</v>
      </c>
    </row>
    <row r="16" spans="2:6" ht="21.95" customHeight="1" x14ac:dyDescent="0.25">
      <c r="B16" s="30" t="s">
        <v>261</v>
      </c>
      <c r="C16" s="51" t="s">
        <v>262</v>
      </c>
      <c r="D16" s="52" t="s">
        <v>263</v>
      </c>
      <c r="E16" s="53" t="s">
        <v>264</v>
      </c>
      <c r="F16" s="54" t="s">
        <v>265</v>
      </c>
    </row>
    <row r="19" spans="2:6" ht="20.100000000000001" customHeight="1" x14ac:dyDescent="0.25">
      <c r="B19" s="92" t="s">
        <v>266</v>
      </c>
      <c r="C19" s="84"/>
      <c r="D19" s="84"/>
      <c r="E19" s="84"/>
      <c r="F19" s="82"/>
    </row>
    <row r="20" spans="2:6" ht="21.95" customHeight="1" x14ac:dyDescent="0.25">
      <c r="B20" s="27" t="s">
        <v>267</v>
      </c>
      <c r="C20" s="55" t="s">
        <v>268</v>
      </c>
      <c r="D20" s="56">
        <f>HPP_UNIT!B11</f>
        <v>104.9</v>
      </c>
      <c r="E20" s="56">
        <f>HPP_UNIT!B30</f>
        <v>232</v>
      </c>
      <c r="F20" s="55" t="s">
        <v>269</v>
      </c>
    </row>
    <row r="21" spans="2:6" ht="21.95" customHeight="1" x14ac:dyDescent="0.25">
      <c r="B21" s="30" t="s">
        <v>270</v>
      </c>
      <c r="C21" s="57" t="s">
        <v>268</v>
      </c>
      <c r="D21" s="58">
        <f>ASUMSI!C36/50</f>
        <v>100</v>
      </c>
      <c r="E21" s="58">
        <f>ASUMSI!C37/120</f>
        <v>241.66666666666666</v>
      </c>
      <c r="F21" s="57" t="s">
        <v>271</v>
      </c>
    </row>
    <row r="22" spans="2:6" ht="21.95" customHeight="1" x14ac:dyDescent="0.25">
      <c r="B22" s="27" t="s">
        <v>143</v>
      </c>
      <c r="C22" s="55" t="s">
        <v>272</v>
      </c>
      <c r="D22" s="59">
        <f>HPP_UNIT!B17</f>
        <v>-4.9000000000000057E-2</v>
      </c>
      <c r="E22" s="59">
        <f>HPP_UNIT!B32</f>
        <v>3.9999999999999959E-2</v>
      </c>
      <c r="F22" s="55" t="s">
        <v>273</v>
      </c>
    </row>
    <row r="23" spans="2:6" ht="21.95" customHeight="1" x14ac:dyDescent="0.25">
      <c r="B23" s="30" t="s">
        <v>274</v>
      </c>
      <c r="C23" s="57" t="s">
        <v>275</v>
      </c>
      <c r="D23" s="58">
        <f>ASUMSI!C36*ASUMSI!C25*0.2</f>
        <v>200000</v>
      </c>
      <c r="E23" s="58">
        <f>ASUMSI!C37*ASUMSI!C25*0.09</f>
        <v>522000</v>
      </c>
      <c r="F23" s="58">
        <f>ASUMSI!C39*ASUMSI!C25*0.01</f>
        <v>1000000</v>
      </c>
    </row>
  </sheetData>
  <mergeCells count="2">
    <mergeCell ref="B1:F1"/>
    <mergeCell ref="B19:F1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7"/>
  <sheetViews>
    <sheetView showGridLines="0" zoomScale="70" zoomScaleNormal="70" workbookViewId="0">
      <selection activeCell="L6" sqref="L6"/>
    </sheetView>
  </sheetViews>
  <sheetFormatPr defaultRowHeight="15" x14ac:dyDescent="0.25"/>
  <cols>
    <col min="1" max="1" width="14" customWidth="1"/>
    <col min="2" max="5" width="10" customWidth="1"/>
    <col min="6" max="6" width="15.28515625" customWidth="1"/>
    <col min="7" max="7" width="17.140625" customWidth="1"/>
    <col min="8" max="8" width="17.28515625" customWidth="1"/>
    <col min="9" max="9" width="19" customWidth="1"/>
    <col min="10" max="10" width="17.7109375" customWidth="1"/>
  </cols>
  <sheetData>
    <row r="1" spans="1:10" ht="36" customHeight="1" x14ac:dyDescent="0.25">
      <c r="A1" s="101" t="s">
        <v>276</v>
      </c>
      <c r="B1" s="87"/>
      <c r="C1" s="87"/>
      <c r="D1" s="87"/>
      <c r="E1" s="87"/>
      <c r="F1" s="87"/>
      <c r="G1" s="87"/>
      <c r="H1" s="87"/>
      <c r="I1" s="87"/>
      <c r="J1" s="87"/>
    </row>
    <row r="2" spans="1:10" ht="18" customHeight="1" x14ac:dyDescent="0.25">
      <c r="A2" s="99" t="s">
        <v>277</v>
      </c>
      <c r="B2" s="87"/>
      <c r="C2" s="87"/>
      <c r="D2" s="87"/>
      <c r="E2" s="87"/>
      <c r="F2" s="87"/>
      <c r="G2" s="87"/>
      <c r="H2" s="87"/>
      <c r="I2" s="87"/>
      <c r="J2" s="87"/>
    </row>
    <row r="3" spans="1:10" ht="8.1" customHeight="1" x14ac:dyDescent="0.25"/>
    <row r="4" spans="1:10" ht="27.95" customHeight="1" x14ac:dyDescent="0.25">
      <c r="A4" s="18" t="s">
        <v>278</v>
      </c>
      <c r="B4" s="18" t="s">
        <v>279</v>
      </c>
      <c r="C4" s="18" t="s">
        <v>280</v>
      </c>
      <c r="D4" s="18" t="s">
        <v>281</v>
      </c>
      <c r="E4" s="18" t="s">
        <v>282</v>
      </c>
      <c r="F4" s="18" t="s">
        <v>141</v>
      </c>
      <c r="G4" s="18" t="s">
        <v>283</v>
      </c>
      <c r="H4" s="18" t="s">
        <v>284</v>
      </c>
      <c r="I4" s="18" t="s">
        <v>285</v>
      </c>
      <c r="J4" s="18" t="s">
        <v>286</v>
      </c>
    </row>
    <row r="5" spans="1:10" ht="20.100000000000001" customHeight="1" x14ac:dyDescent="0.25">
      <c r="A5" s="60" t="s">
        <v>287</v>
      </c>
      <c r="B5" s="19">
        <v>200</v>
      </c>
      <c r="C5" s="19">
        <v>60</v>
      </c>
      <c r="D5" s="19">
        <v>72</v>
      </c>
      <c r="E5" s="19">
        <v>1008000</v>
      </c>
      <c r="F5" s="19">
        <v>766080</v>
      </c>
      <c r="G5" s="19">
        <v>241920</v>
      </c>
      <c r="H5" s="19">
        <v>750000</v>
      </c>
      <c r="I5" s="19">
        <v>-508080</v>
      </c>
      <c r="J5" s="61" t="s">
        <v>272</v>
      </c>
    </row>
    <row r="6" spans="1:10" ht="20.100000000000001" customHeight="1" x14ac:dyDescent="0.25">
      <c r="A6" s="62" t="s">
        <v>288</v>
      </c>
      <c r="B6" s="20">
        <f t="shared" ref="B6:B16" si="0">ROUND(B5*1.14,0)</f>
        <v>228</v>
      </c>
      <c r="C6" s="20">
        <f t="shared" ref="C6:C16" si="1">ROUND(B6*0.3,0)</f>
        <v>68</v>
      </c>
      <c r="D6" s="20">
        <f t="shared" ref="D6:D16" si="2">ROUND(C6*1.2,0)</f>
        <v>82</v>
      </c>
      <c r="E6" s="20">
        <f t="shared" ref="E6:E16" si="3">D6*14000</f>
        <v>1148000</v>
      </c>
      <c r="F6" s="20">
        <f t="shared" ref="F6:F16" si="4">ROUND(E6*0.76,0)</f>
        <v>872480</v>
      </c>
      <c r="G6" s="20">
        <f t="shared" ref="G6:G16" si="5">E6-F6</f>
        <v>275520</v>
      </c>
      <c r="H6" s="20">
        <f t="shared" ref="H6:H16" si="6">750000+ROUND(B6*100,0)</f>
        <v>772800</v>
      </c>
      <c r="I6" s="20">
        <f t="shared" ref="I6:I16" si="7">G6-H6</f>
        <v>-497280</v>
      </c>
      <c r="J6" s="63">
        <f t="shared" ref="J6:J16" si="8">IF(E5&gt;0,(E6-E5)/E5,0)</f>
        <v>0.1388888888888889</v>
      </c>
    </row>
    <row r="7" spans="1:10" ht="20.100000000000001" customHeight="1" x14ac:dyDescent="0.25">
      <c r="A7" s="60" t="s">
        <v>289</v>
      </c>
      <c r="B7" s="19">
        <f t="shared" si="0"/>
        <v>260</v>
      </c>
      <c r="C7" s="19">
        <f t="shared" si="1"/>
        <v>78</v>
      </c>
      <c r="D7" s="19">
        <f t="shared" si="2"/>
        <v>94</v>
      </c>
      <c r="E7" s="19">
        <f t="shared" si="3"/>
        <v>1316000</v>
      </c>
      <c r="F7" s="19">
        <f t="shared" si="4"/>
        <v>1000160</v>
      </c>
      <c r="G7" s="19">
        <f t="shared" si="5"/>
        <v>315840</v>
      </c>
      <c r="H7" s="19">
        <f t="shared" si="6"/>
        <v>776000</v>
      </c>
      <c r="I7" s="19">
        <f t="shared" si="7"/>
        <v>-460160</v>
      </c>
      <c r="J7" s="61">
        <f t="shared" si="8"/>
        <v>0.14634146341463414</v>
      </c>
    </row>
    <row r="8" spans="1:10" ht="20.100000000000001" customHeight="1" x14ac:dyDescent="0.25">
      <c r="A8" s="62" t="s">
        <v>290</v>
      </c>
      <c r="B8" s="20">
        <f t="shared" si="0"/>
        <v>296</v>
      </c>
      <c r="C8" s="20">
        <f t="shared" si="1"/>
        <v>89</v>
      </c>
      <c r="D8" s="20">
        <f t="shared" si="2"/>
        <v>107</v>
      </c>
      <c r="E8" s="20">
        <f t="shared" si="3"/>
        <v>1498000</v>
      </c>
      <c r="F8" s="20">
        <f t="shared" si="4"/>
        <v>1138480</v>
      </c>
      <c r="G8" s="20">
        <f t="shared" si="5"/>
        <v>359520</v>
      </c>
      <c r="H8" s="20">
        <f t="shared" si="6"/>
        <v>779600</v>
      </c>
      <c r="I8" s="20">
        <f t="shared" si="7"/>
        <v>-420080</v>
      </c>
      <c r="J8" s="63">
        <f t="shared" si="8"/>
        <v>0.13829787234042554</v>
      </c>
    </row>
    <row r="9" spans="1:10" ht="20.100000000000001" customHeight="1" x14ac:dyDescent="0.25">
      <c r="A9" s="60" t="s">
        <v>291</v>
      </c>
      <c r="B9" s="19">
        <f t="shared" si="0"/>
        <v>337</v>
      </c>
      <c r="C9" s="19">
        <f t="shared" si="1"/>
        <v>101</v>
      </c>
      <c r="D9" s="19">
        <f t="shared" si="2"/>
        <v>121</v>
      </c>
      <c r="E9" s="19">
        <f t="shared" si="3"/>
        <v>1694000</v>
      </c>
      <c r="F9" s="19">
        <f t="shared" si="4"/>
        <v>1287440</v>
      </c>
      <c r="G9" s="19">
        <f t="shared" si="5"/>
        <v>406560</v>
      </c>
      <c r="H9" s="19">
        <f t="shared" si="6"/>
        <v>783700</v>
      </c>
      <c r="I9" s="19">
        <f t="shared" si="7"/>
        <v>-377140</v>
      </c>
      <c r="J9" s="61">
        <f t="shared" si="8"/>
        <v>0.13084112149532709</v>
      </c>
    </row>
    <row r="10" spans="1:10" ht="20.100000000000001" customHeight="1" x14ac:dyDescent="0.25">
      <c r="A10" s="62" t="s">
        <v>292</v>
      </c>
      <c r="B10" s="20">
        <f t="shared" si="0"/>
        <v>384</v>
      </c>
      <c r="C10" s="20">
        <f t="shared" si="1"/>
        <v>115</v>
      </c>
      <c r="D10" s="20">
        <f t="shared" si="2"/>
        <v>138</v>
      </c>
      <c r="E10" s="20">
        <f t="shared" si="3"/>
        <v>1932000</v>
      </c>
      <c r="F10" s="20">
        <f t="shared" si="4"/>
        <v>1468320</v>
      </c>
      <c r="G10" s="20">
        <f t="shared" si="5"/>
        <v>463680</v>
      </c>
      <c r="H10" s="20">
        <f t="shared" si="6"/>
        <v>788400</v>
      </c>
      <c r="I10" s="20">
        <f t="shared" si="7"/>
        <v>-324720</v>
      </c>
      <c r="J10" s="63">
        <f t="shared" si="8"/>
        <v>0.14049586776859505</v>
      </c>
    </row>
    <row r="11" spans="1:10" ht="20.100000000000001" customHeight="1" x14ac:dyDescent="0.25">
      <c r="A11" s="60" t="s">
        <v>293</v>
      </c>
      <c r="B11" s="19">
        <f t="shared" si="0"/>
        <v>438</v>
      </c>
      <c r="C11" s="19">
        <f t="shared" si="1"/>
        <v>131</v>
      </c>
      <c r="D11" s="19">
        <f t="shared" si="2"/>
        <v>157</v>
      </c>
      <c r="E11" s="19">
        <f t="shared" si="3"/>
        <v>2198000</v>
      </c>
      <c r="F11" s="19">
        <f t="shared" si="4"/>
        <v>1670480</v>
      </c>
      <c r="G11" s="19">
        <f t="shared" si="5"/>
        <v>527520</v>
      </c>
      <c r="H11" s="19">
        <f t="shared" si="6"/>
        <v>793800</v>
      </c>
      <c r="I11" s="19">
        <f t="shared" si="7"/>
        <v>-266280</v>
      </c>
      <c r="J11" s="61">
        <f t="shared" si="8"/>
        <v>0.13768115942028986</v>
      </c>
    </row>
    <row r="12" spans="1:10" ht="20.100000000000001" customHeight="1" x14ac:dyDescent="0.25">
      <c r="A12" s="62" t="s">
        <v>294</v>
      </c>
      <c r="B12" s="20">
        <f t="shared" si="0"/>
        <v>499</v>
      </c>
      <c r="C12" s="20">
        <f t="shared" si="1"/>
        <v>150</v>
      </c>
      <c r="D12" s="20">
        <f t="shared" si="2"/>
        <v>180</v>
      </c>
      <c r="E12" s="20">
        <f t="shared" si="3"/>
        <v>2520000</v>
      </c>
      <c r="F12" s="20">
        <f t="shared" si="4"/>
        <v>1915200</v>
      </c>
      <c r="G12" s="20">
        <f t="shared" si="5"/>
        <v>604800</v>
      </c>
      <c r="H12" s="20">
        <f t="shared" si="6"/>
        <v>799900</v>
      </c>
      <c r="I12" s="20">
        <f t="shared" si="7"/>
        <v>-195100</v>
      </c>
      <c r="J12" s="63">
        <f t="shared" si="8"/>
        <v>0.1464968152866242</v>
      </c>
    </row>
    <row r="13" spans="1:10" ht="20.100000000000001" customHeight="1" x14ac:dyDescent="0.25">
      <c r="A13" s="60" t="s">
        <v>295</v>
      </c>
      <c r="B13" s="19">
        <f t="shared" si="0"/>
        <v>569</v>
      </c>
      <c r="C13" s="19">
        <f t="shared" si="1"/>
        <v>171</v>
      </c>
      <c r="D13" s="19">
        <f t="shared" si="2"/>
        <v>205</v>
      </c>
      <c r="E13" s="19">
        <f t="shared" si="3"/>
        <v>2870000</v>
      </c>
      <c r="F13" s="19">
        <f t="shared" si="4"/>
        <v>2181200</v>
      </c>
      <c r="G13" s="19">
        <f t="shared" si="5"/>
        <v>688800</v>
      </c>
      <c r="H13" s="19">
        <f t="shared" si="6"/>
        <v>806900</v>
      </c>
      <c r="I13" s="19">
        <f t="shared" si="7"/>
        <v>-118100</v>
      </c>
      <c r="J13" s="61">
        <f t="shared" si="8"/>
        <v>0.1388888888888889</v>
      </c>
    </row>
    <row r="14" spans="1:10" ht="20.100000000000001" customHeight="1" x14ac:dyDescent="0.25">
      <c r="A14" s="62" t="s">
        <v>296</v>
      </c>
      <c r="B14" s="20">
        <f t="shared" si="0"/>
        <v>649</v>
      </c>
      <c r="C14" s="20">
        <f t="shared" si="1"/>
        <v>195</v>
      </c>
      <c r="D14" s="20">
        <f t="shared" si="2"/>
        <v>234</v>
      </c>
      <c r="E14" s="20">
        <f t="shared" si="3"/>
        <v>3276000</v>
      </c>
      <c r="F14" s="20">
        <f t="shared" si="4"/>
        <v>2489760</v>
      </c>
      <c r="G14" s="20">
        <f t="shared" si="5"/>
        <v>786240</v>
      </c>
      <c r="H14" s="20">
        <f t="shared" si="6"/>
        <v>814900</v>
      </c>
      <c r="I14" s="20">
        <f t="shared" si="7"/>
        <v>-28660</v>
      </c>
      <c r="J14" s="63">
        <f t="shared" si="8"/>
        <v>0.14146341463414633</v>
      </c>
    </row>
    <row r="15" spans="1:10" ht="20.100000000000001" customHeight="1" x14ac:dyDescent="0.25">
      <c r="A15" s="60" t="s">
        <v>297</v>
      </c>
      <c r="B15" s="19">
        <f t="shared" si="0"/>
        <v>740</v>
      </c>
      <c r="C15" s="19">
        <f t="shared" si="1"/>
        <v>222</v>
      </c>
      <c r="D15" s="19">
        <f t="shared" si="2"/>
        <v>266</v>
      </c>
      <c r="E15" s="19">
        <f t="shared" si="3"/>
        <v>3724000</v>
      </c>
      <c r="F15" s="19">
        <f t="shared" si="4"/>
        <v>2830240</v>
      </c>
      <c r="G15" s="19">
        <f t="shared" si="5"/>
        <v>893760</v>
      </c>
      <c r="H15" s="19">
        <f t="shared" si="6"/>
        <v>824000</v>
      </c>
      <c r="I15" s="19">
        <f t="shared" si="7"/>
        <v>69760</v>
      </c>
      <c r="J15" s="61">
        <f t="shared" si="8"/>
        <v>0.13675213675213677</v>
      </c>
    </row>
    <row r="16" spans="1:10" ht="20.100000000000001" customHeight="1" x14ac:dyDescent="0.25">
      <c r="A16" s="62" t="s">
        <v>298</v>
      </c>
      <c r="B16" s="20">
        <f t="shared" si="0"/>
        <v>844</v>
      </c>
      <c r="C16" s="20">
        <f t="shared" si="1"/>
        <v>253</v>
      </c>
      <c r="D16" s="20">
        <f t="shared" si="2"/>
        <v>304</v>
      </c>
      <c r="E16" s="20">
        <f t="shared" si="3"/>
        <v>4256000</v>
      </c>
      <c r="F16" s="20">
        <f t="shared" si="4"/>
        <v>3234560</v>
      </c>
      <c r="G16" s="20">
        <f t="shared" si="5"/>
        <v>1021440</v>
      </c>
      <c r="H16" s="20">
        <f t="shared" si="6"/>
        <v>834400</v>
      </c>
      <c r="I16" s="20">
        <f t="shared" si="7"/>
        <v>187040</v>
      </c>
      <c r="J16" s="63">
        <f t="shared" si="8"/>
        <v>0.14285714285714285</v>
      </c>
    </row>
    <row r="17" spans="1:10" ht="24" customHeight="1" x14ac:dyDescent="0.25">
      <c r="A17" s="64" t="s">
        <v>299</v>
      </c>
      <c r="B17" s="65">
        <f>AVERAGE(B5:B16)</f>
        <v>453.66666666666669</v>
      </c>
      <c r="C17" s="65">
        <f>AVERAGE(C5:C16)</f>
        <v>136.08333333333334</v>
      </c>
      <c r="D17" s="65">
        <f>AVERAGE(D5:D16)</f>
        <v>163.33333333333334</v>
      </c>
      <c r="E17" s="65">
        <f>SUM(E5:E16)</f>
        <v>27440000</v>
      </c>
      <c r="F17" s="65">
        <f>SUM(F5:F16)</f>
        <v>20854400</v>
      </c>
      <c r="G17" s="65">
        <f>SUM(G5:G16)</f>
        <v>6585600</v>
      </c>
      <c r="H17" s="65">
        <f>SUM(H5:H16)</f>
        <v>9524400</v>
      </c>
      <c r="I17" s="65">
        <f>SUM(I5:I16)</f>
        <v>-2938800</v>
      </c>
      <c r="J17" s="66">
        <f>AVERAGE(J6:J16)</f>
        <v>0.13990952470428175</v>
      </c>
    </row>
  </sheetData>
  <mergeCells count="2">
    <mergeCell ref="A1:J1"/>
    <mergeCell ref="A2:J2"/>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21"/>
  <sheetViews>
    <sheetView showGridLines="0" workbookViewId="0"/>
  </sheetViews>
  <sheetFormatPr defaultRowHeight="15" x14ac:dyDescent="0.25"/>
  <cols>
    <col min="1" max="1" width="4" customWidth="1"/>
    <col min="2" max="2" width="30" customWidth="1"/>
    <col min="3" max="3" width="65" customWidth="1"/>
    <col min="4" max="4" width="4" customWidth="1"/>
  </cols>
  <sheetData>
    <row r="1" spans="2:3" ht="36" customHeight="1" x14ac:dyDescent="0.25">
      <c r="B1" s="101" t="s">
        <v>300</v>
      </c>
      <c r="C1" s="87"/>
    </row>
    <row r="2" spans="2:3" ht="20.100000000000001" customHeight="1" x14ac:dyDescent="0.25">
      <c r="B2" s="109" t="s">
        <v>301</v>
      </c>
      <c r="C2" s="87"/>
    </row>
    <row r="4" spans="2:3" ht="6" customHeight="1" x14ac:dyDescent="0.25"/>
    <row r="5" spans="2:3" ht="26.1" customHeight="1" x14ac:dyDescent="0.25">
      <c r="B5" s="106" t="s">
        <v>302</v>
      </c>
      <c r="C5" s="82"/>
    </row>
    <row r="6" spans="2:3" ht="129.94999999999999" customHeight="1" x14ac:dyDescent="0.25">
      <c r="B6" s="105" t="s">
        <v>303</v>
      </c>
      <c r="C6" s="82"/>
    </row>
    <row r="7" spans="2:3" ht="6" customHeight="1" x14ac:dyDescent="0.25"/>
    <row r="8" spans="2:3" ht="26.1" customHeight="1" x14ac:dyDescent="0.25">
      <c r="B8" s="110" t="s">
        <v>304</v>
      </c>
      <c r="C8" s="82"/>
    </row>
    <row r="9" spans="2:3" ht="129.94999999999999" customHeight="1" x14ac:dyDescent="0.25">
      <c r="B9" s="107" t="s">
        <v>305</v>
      </c>
      <c r="C9" s="82"/>
    </row>
    <row r="10" spans="2:3" ht="6" customHeight="1" x14ac:dyDescent="0.25"/>
    <row r="11" spans="2:3" ht="26.1" customHeight="1" x14ac:dyDescent="0.25">
      <c r="B11" s="104" t="s">
        <v>306</v>
      </c>
      <c r="C11" s="82"/>
    </row>
    <row r="12" spans="2:3" ht="129.94999999999999" customHeight="1" x14ac:dyDescent="0.25">
      <c r="B12" s="105" t="s">
        <v>307</v>
      </c>
      <c r="C12" s="82"/>
    </row>
    <row r="13" spans="2:3" ht="6" customHeight="1" x14ac:dyDescent="0.25"/>
    <row r="14" spans="2:3" ht="26.1" customHeight="1" x14ac:dyDescent="0.25">
      <c r="B14" s="108" t="s">
        <v>308</v>
      </c>
      <c r="C14" s="82"/>
    </row>
    <row r="15" spans="2:3" ht="129.94999999999999" customHeight="1" x14ac:dyDescent="0.25">
      <c r="B15" s="107" t="s">
        <v>309</v>
      </c>
      <c r="C15" s="82"/>
    </row>
    <row r="16" spans="2:3" ht="6" customHeight="1" x14ac:dyDescent="0.25"/>
    <row r="17" spans="2:3" ht="26.1" customHeight="1" x14ac:dyDescent="0.25">
      <c r="B17" s="103" t="s">
        <v>310</v>
      </c>
      <c r="C17" s="82"/>
    </row>
    <row r="18" spans="2:3" ht="129.94999999999999" customHeight="1" x14ac:dyDescent="0.25">
      <c r="B18" s="105" t="s">
        <v>311</v>
      </c>
      <c r="C18" s="82"/>
    </row>
    <row r="19" spans="2:3" ht="6" customHeight="1" x14ac:dyDescent="0.25"/>
    <row r="20" spans="2:3" ht="26.1" customHeight="1" x14ac:dyDescent="0.25">
      <c r="B20" s="106" t="s">
        <v>312</v>
      </c>
      <c r="C20" s="82"/>
    </row>
    <row r="21" spans="2:3" ht="129.94999999999999" customHeight="1" x14ac:dyDescent="0.25">
      <c r="B21" s="107" t="s">
        <v>313</v>
      </c>
      <c r="C21" s="82"/>
    </row>
  </sheetData>
  <mergeCells count="14">
    <mergeCell ref="B1:C1"/>
    <mergeCell ref="B8:C8"/>
    <mergeCell ref="B18:C18"/>
    <mergeCell ref="B12:C12"/>
    <mergeCell ref="B6:C6"/>
    <mergeCell ref="B21:C21"/>
    <mergeCell ref="B2:C2"/>
    <mergeCell ref="B15:C15"/>
    <mergeCell ref="B11:C11"/>
    <mergeCell ref="B5:C5"/>
    <mergeCell ref="B20:C20"/>
    <mergeCell ref="B14:C14"/>
    <mergeCell ref="B17:C17"/>
    <mergeCell ref="B9:C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41"/>
  <sheetViews>
    <sheetView showGridLines="0" topLeftCell="A7" zoomScale="115" zoomScaleNormal="115" workbookViewId="0">
      <selection activeCell="L30" sqref="L30"/>
    </sheetView>
  </sheetViews>
  <sheetFormatPr defaultRowHeight="15" x14ac:dyDescent="0.25"/>
  <cols>
    <col min="1" max="1" width="2" customWidth="1"/>
    <col min="2" max="2" width="28.42578125" customWidth="1"/>
    <col min="3" max="3" width="3" customWidth="1"/>
    <col min="4" max="4" width="24.28515625" customWidth="1"/>
    <col min="5" max="5" width="3" customWidth="1"/>
    <col min="6" max="6" width="24.85546875" customWidth="1"/>
    <col min="7" max="7" width="3" customWidth="1"/>
    <col min="8" max="8" width="42.7109375" customWidth="1"/>
    <col min="9" max="9" width="2" style="113" customWidth="1"/>
  </cols>
  <sheetData>
    <row r="1" spans="2:9" ht="42" customHeight="1" x14ac:dyDescent="0.25">
      <c r="B1" s="112" t="s">
        <v>314</v>
      </c>
      <c r="C1" s="112"/>
      <c r="D1" s="112"/>
      <c r="E1" s="112"/>
      <c r="F1" s="112"/>
      <c r="G1" s="112"/>
      <c r="H1" s="112"/>
    </row>
    <row r="2" spans="2:9" ht="18" customHeight="1" x14ac:dyDescent="0.25">
      <c r="B2" s="111" t="s">
        <v>315</v>
      </c>
      <c r="C2" s="111"/>
      <c r="D2" s="111"/>
      <c r="E2" s="111"/>
      <c r="F2" s="111"/>
      <c r="G2" s="111"/>
      <c r="H2" s="111"/>
    </row>
    <row r="4" spans="2:9" ht="9.9499999999999993" customHeight="1" x14ac:dyDescent="0.25"/>
    <row r="5" spans="2:9" ht="20.100000000000001" customHeight="1" x14ac:dyDescent="0.25">
      <c r="B5" s="67" t="s">
        <v>316</v>
      </c>
      <c r="D5" s="68" t="s">
        <v>317</v>
      </c>
      <c r="F5" s="69" t="s">
        <v>318</v>
      </c>
      <c r="H5" s="70" t="s">
        <v>319</v>
      </c>
    </row>
    <row r="6" spans="2:9" ht="36" customHeight="1" x14ac:dyDescent="0.25">
      <c r="B6" s="71">
        <f>HPP_UNIT!B11</f>
        <v>104.9</v>
      </c>
      <c r="D6" s="72">
        <f>HPP_UNIT!B30</f>
        <v>232</v>
      </c>
      <c r="F6" s="73">
        <f>HPP_UNIT!B32</f>
        <v>3.9999999999999959E-2</v>
      </c>
      <c r="H6" s="74">
        <f>HPP_UNIT!D31</f>
        <v>57666.666666666657</v>
      </c>
    </row>
    <row r="7" spans="2:9" ht="18" customHeight="1" x14ac:dyDescent="0.25">
      <c r="B7" s="75" t="s">
        <v>320</v>
      </c>
      <c r="D7" s="75" t="s">
        <v>321</v>
      </c>
      <c r="F7" s="75" t="s">
        <v>322</v>
      </c>
      <c r="H7" s="75" t="s">
        <v>323</v>
      </c>
    </row>
    <row r="8" spans="2:9" ht="9.9499999999999993" customHeight="1" x14ac:dyDescent="0.25"/>
    <row r="9" spans="2:9" ht="20.100000000000001" customHeight="1" x14ac:dyDescent="0.25">
      <c r="B9" s="70" t="s">
        <v>324</v>
      </c>
      <c r="D9" s="76" t="s">
        <v>325</v>
      </c>
      <c r="F9" s="77" t="s">
        <v>326</v>
      </c>
      <c r="H9" s="69" t="s">
        <v>327</v>
      </c>
    </row>
    <row r="10" spans="2:9" ht="36" customHeight="1" x14ac:dyDescent="0.25">
      <c r="B10" s="74">
        <f>ASUMSI!C26</f>
        <v>1500</v>
      </c>
      <c r="D10" s="78">
        <v>50</v>
      </c>
      <c r="F10" s="79">
        <f>SUM(ASUMSI!C16:C22)</f>
        <v>750000</v>
      </c>
      <c r="H10" s="80">
        <f>PROYEKSI_12_BULAN!E17</f>
        <v>27440000</v>
      </c>
    </row>
    <row r="11" spans="2:9" ht="18" customHeight="1" x14ac:dyDescent="0.25">
      <c r="B11" s="75" t="s">
        <v>328</v>
      </c>
      <c r="D11" s="75" t="s">
        <v>329</v>
      </c>
      <c r="F11" s="75" t="s">
        <v>330</v>
      </c>
      <c r="H11" s="75" t="s">
        <v>331</v>
      </c>
    </row>
    <row r="12" spans="2:9" ht="9.9499999999999993" customHeight="1" x14ac:dyDescent="0.25"/>
    <row r="13" spans="2:9" ht="21.95" customHeight="1" x14ac:dyDescent="0.25">
      <c r="B13" s="130" t="s">
        <v>332</v>
      </c>
      <c r="C13" s="131"/>
      <c r="D13" s="131"/>
      <c r="E13" s="131"/>
      <c r="F13" s="131"/>
      <c r="G13" s="131"/>
      <c r="H13" s="132"/>
    </row>
    <row r="14" spans="2:9" ht="21.95" customHeight="1" x14ac:dyDescent="0.25">
      <c r="B14" s="114"/>
      <c r="C14" s="114" t="s">
        <v>162</v>
      </c>
      <c r="D14" s="114"/>
      <c r="E14" s="114" t="s">
        <v>163</v>
      </c>
      <c r="F14" s="114"/>
      <c r="G14" s="114" t="s">
        <v>164</v>
      </c>
      <c r="H14" s="114"/>
    </row>
    <row r="15" spans="2:9" ht="21.95" customHeight="1" x14ac:dyDescent="0.25">
      <c r="B15" s="124" t="s">
        <v>333</v>
      </c>
      <c r="C15" s="125"/>
      <c r="D15" s="128">
        <f>HPP_SCENARIO!B21</f>
        <v>0.28000000000000003</v>
      </c>
      <c r="E15" s="129"/>
      <c r="F15" s="128">
        <f>HPP_SCENARIO!C21</f>
        <v>-0.02</v>
      </c>
      <c r="G15" s="129"/>
      <c r="H15" s="128">
        <f>HPP_SCENARIO!D21</f>
        <v>-0.56999999999999995</v>
      </c>
      <c r="I15" s="129"/>
    </row>
    <row r="16" spans="2:9" ht="21.95" customHeight="1" x14ac:dyDescent="0.25">
      <c r="B16" s="117" t="s">
        <v>334</v>
      </c>
      <c r="C16" s="118"/>
      <c r="D16" s="115">
        <f>HPP_SCENARIO!B22</f>
        <v>0.16206896551724143</v>
      </c>
      <c r="E16" s="116"/>
      <c r="F16" s="115">
        <f>HPP_SCENARIO!C22</f>
        <v>8.1379310344827552E-2</v>
      </c>
      <c r="G16" s="116"/>
      <c r="H16" s="115">
        <f>HPP_SCENARIO!D22</f>
        <v>0.12551724137931033</v>
      </c>
      <c r="I16" s="116"/>
    </row>
    <row r="17" spans="2:9" ht="21.95" customHeight="1" x14ac:dyDescent="0.25">
      <c r="B17" s="124" t="s">
        <v>335</v>
      </c>
      <c r="C17" s="125"/>
      <c r="D17" s="122">
        <f>HPP_SCENARIO!B23</f>
        <v>28000</v>
      </c>
      <c r="E17" s="123"/>
      <c r="F17" s="122">
        <f>HPP_SCENARIO!C23</f>
        <v>-2000</v>
      </c>
      <c r="G17" s="123"/>
      <c r="H17" s="122">
        <f>HPP_SCENARIO!D23</f>
        <v>-57000</v>
      </c>
      <c r="I17" s="123"/>
    </row>
    <row r="18" spans="2:9" ht="21.95" customHeight="1" x14ac:dyDescent="0.25">
      <c r="B18" s="117" t="s">
        <v>336</v>
      </c>
      <c r="C18" s="118"/>
      <c r="D18" s="126">
        <f>HPP_SCENARIO!B24</f>
        <v>31333.333333333343</v>
      </c>
      <c r="E18" s="127"/>
      <c r="F18" s="126">
        <f>HPP_SCENARIO!C24</f>
        <v>19666.666666666657</v>
      </c>
      <c r="G18" s="127"/>
      <c r="H18" s="126">
        <f>HPP_SCENARIO!D24</f>
        <v>45500</v>
      </c>
      <c r="I18" s="127"/>
    </row>
    <row r="20" spans="2:9" ht="9.9499999999999993" customHeight="1" x14ac:dyDescent="0.25">
      <c r="B20" s="119" t="s">
        <v>337</v>
      </c>
      <c r="C20" s="120"/>
      <c r="D20" s="120"/>
      <c r="E20" s="120"/>
      <c r="F20" s="120"/>
      <c r="G20" s="120"/>
      <c r="H20" s="121"/>
    </row>
    <row r="21" spans="2:9" ht="12" customHeight="1" x14ac:dyDescent="0.25"/>
    <row r="40" spans="2:8" ht="6" customHeight="1" x14ac:dyDescent="0.25">
      <c r="B40" s="1"/>
      <c r="C40" s="1"/>
      <c r="D40" s="1"/>
      <c r="E40" s="1"/>
      <c r="F40" s="1"/>
      <c r="G40" s="1"/>
      <c r="H40" s="1"/>
    </row>
    <row r="41" spans="2:8" ht="15" customHeight="1" x14ac:dyDescent="0.25">
      <c r="B41" s="90" t="s">
        <v>338</v>
      </c>
      <c r="C41" s="90"/>
      <c r="D41" s="90"/>
      <c r="E41" s="90"/>
      <c r="F41" s="90"/>
      <c r="G41" s="90"/>
      <c r="H41" s="90"/>
    </row>
  </sheetData>
  <mergeCells count="21">
    <mergeCell ref="B2:H2"/>
    <mergeCell ref="D18:E18"/>
    <mergeCell ref="B15:C15"/>
    <mergeCell ref="B1:H1"/>
    <mergeCell ref="B13:H13"/>
    <mergeCell ref="D15:E15"/>
    <mergeCell ref="H15:I15"/>
    <mergeCell ref="H18:I18"/>
    <mergeCell ref="B41:H41"/>
    <mergeCell ref="F15:G15"/>
    <mergeCell ref="F18:G18"/>
    <mergeCell ref="B17:C17"/>
    <mergeCell ref="D17:E17"/>
    <mergeCell ref="F17:G17"/>
    <mergeCell ref="H17:I17"/>
    <mergeCell ref="D16:E16"/>
    <mergeCell ref="H16:I16"/>
    <mergeCell ref="B18:C18"/>
    <mergeCell ref="B20:H20"/>
    <mergeCell ref="B16:C16"/>
    <mergeCell ref="F16:G1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ASUMSI</vt:lpstr>
      <vt:lpstr>HPP_UNIT</vt:lpstr>
      <vt:lpstr>HPP_SCENARIO</vt:lpstr>
      <vt:lpstr>ANALISIS_HPP</vt:lpstr>
      <vt:lpstr>PRICING</vt:lpstr>
      <vt:lpstr>PROYEKSI_12_BULAN</vt:lpstr>
      <vt:lpstr>RINGKASAN_FIKSI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LKS</cp:lastModifiedBy>
  <dcterms:created xsi:type="dcterms:W3CDTF">2026-05-02T23:07:22Z</dcterms:created>
  <dcterms:modified xsi:type="dcterms:W3CDTF">2026-05-02T23:25:15Z</dcterms:modified>
</cp:coreProperties>
</file>